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5" yWindow="45" windowWidth="28755" windowHeight="6090" activeTab="2"/>
  </bookViews>
  <sheets>
    <sheet name="Новомет" sheetId="1" r:id="rId1"/>
    <sheet name="Интерфейс" sheetId="2" r:id="rId2"/>
    <sheet name="IDs" sheetId="3" r:id="rId3"/>
  </sheets>
  <calcPr calcId="145621"/>
</workbook>
</file>

<file path=xl/calcChain.xml><?xml version="1.0" encoding="utf-8"?>
<calcChain xmlns="http://schemas.openxmlformats.org/spreadsheetml/2006/main">
  <c r="R81" i="3" l="1"/>
  <c r="Q81" i="3"/>
  <c r="P81" i="3"/>
  <c r="R66" i="3"/>
  <c r="Q66" i="3"/>
  <c r="P66" i="3"/>
  <c r="Q51" i="3"/>
  <c r="R51" i="3"/>
  <c r="P51" i="3"/>
  <c r="A120" i="3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937" i="3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879" i="3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621" i="3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H88" i="1"/>
  <c r="R88" i="1" s="1"/>
  <c r="H28" i="1"/>
  <c r="H29" i="1"/>
  <c r="H30" i="1"/>
  <c r="Q30" i="1" s="1"/>
  <c r="H31" i="1"/>
  <c r="Q31" i="1" s="1"/>
  <c r="H32" i="1"/>
  <c r="H33" i="1"/>
  <c r="H34" i="1"/>
  <c r="Q34" i="1" s="1"/>
  <c r="H35" i="1"/>
  <c r="Q35" i="1" s="1"/>
  <c r="H36" i="1"/>
  <c r="H37" i="1"/>
  <c r="H38" i="1"/>
  <c r="Q38" i="1" s="1"/>
  <c r="H39" i="1"/>
  <c r="Q39" i="1" s="1"/>
  <c r="H40" i="1"/>
  <c r="H41" i="1"/>
  <c r="H42" i="1"/>
  <c r="Q42" i="1" s="1"/>
  <c r="H43" i="1"/>
  <c r="Q43" i="1" s="1"/>
  <c r="H44" i="1"/>
  <c r="R44" i="1" s="1"/>
  <c r="H45" i="1"/>
  <c r="H46" i="1"/>
  <c r="Q46" i="1" s="1"/>
  <c r="H47" i="1"/>
  <c r="Q47" i="1" s="1"/>
  <c r="H48" i="1"/>
  <c r="R48" i="1" s="1"/>
  <c r="H49" i="1"/>
  <c r="H50" i="1"/>
  <c r="Q50" i="1" s="1"/>
  <c r="H51" i="1"/>
  <c r="Q51" i="1" s="1"/>
  <c r="H52" i="1"/>
  <c r="R52" i="1" s="1"/>
  <c r="H53" i="1"/>
  <c r="H54" i="1"/>
  <c r="Q54" i="1" s="1"/>
  <c r="H55" i="1"/>
  <c r="Q55" i="1" s="1"/>
  <c r="H56" i="1"/>
  <c r="R56" i="1" s="1"/>
  <c r="H57" i="1"/>
  <c r="H58" i="1"/>
  <c r="Q58" i="1" s="1"/>
  <c r="H59" i="1"/>
  <c r="Q59" i="1" s="1"/>
  <c r="H60" i="1"/>
  <c r="R60" i="1" s="1"/>
  <c r="H61" i="1"/>
  <c r="H62" i="1"/>
  <c r="Q62" i="1" s="1"/>
  <c r="H63" i="1"/>
  <c r="Q63" i="1" s="1"/>
  <c r="H64" i="1"/>
  <c r="R64" i="1" s="1"/>
  <c r="H65" i="1"/>
  <c r="H66" i="1"/>
  <c r="Q66" i="1" s="1"/>
  <c r="H67" i="1"/>
  <c r="Q67" i="1" s="1"/>
  <c r="H68" i="1"/>
  <c r="R68" i="1" s="1"/>
  <c r="H69" i="1"/>
  <c r="H70" i="1"/>
  <c r="Q70" i="1" s="1"/>
  <c r="H71" i="1"/>
  <c r="Q71" i="1" s="1"/>
  <c r="H72" i="1"/>
  <c r="R72" i="1" s="1"/>
  <c r="H73" i="1"/>
  <c r="H74" i="1"/>
  <c r="Q74" i="1" s="1"/>
  <c r="H75" i="1"/>
  <c r="Q75" i="1" s="1"/>
  <c r="H76" i="1"/>
  <c r="R76" i="1" s="1"/>
  <c r="H77" i="1"/>
  <c r="H78" i="1"/>
  <c r="Q78" i="1" s="1"/>
  <c r="H79" i="1"/>
  <c r="Q79" i="1" s="1"/>
  <c r="H80" i="1"/>
  <c r="R80" i="1" s="1"/>
  <c r="H81" i="1"/>
  <c r="H82" i="1"/>
  <c r="Q82" i="1" s="1"/>
  <c r="H83" i="1"/>
  <c r="Q83" i="1" s="1"/>
  <c r="H84" i="1"/>
  <c r="R84" i="1" s="1"/>
  <c r="H85" i="1"/>
  <c r="H86" i="1"/>
  <c r="Q86" i="1" s="1"/>
  <c r="H87" i="1"/>
  <c r="Q87" i="1" s="1"/>
  <c r="H89" i="1"/>
  <c r="H90" i="1"/>
  <c r="Q90" i="1" s="1"/>
  <c r="H91" i="1"/>
  <c r="Q91" i="1" s="1"/>
  <c r="H92" i="1"/>
  <c r="R92" i="1" s="1"/>
  <c r="H93" i="1"/>
  <c r="H94" i="1"/>
  <c r="Q94" i="1" s="1"/>
  <c r="H95" i="1"/>
  <c r="Q95" i="1" s="1"/>
  <c r="H96" i="1"/>
  <c r="R96" i="1" s="1"/>
  <c r="H97" i="1"/>
  <c r="H98" i="1"/>
  <c r="Q98" i="1" s="1"/>
  <c r="H99" i="1"/>
  <c r="Q99" i="1" s="1"/>
  <c r="H100" i="1"/>
  <c r="R100" i="1" s="1"/>
  <c r="H101" i="1"/>
  <c r="H102" i="1"/>
  <c r="Q102" i="1" s="1"/>
  <c r="H103" i="1"/>
  <c r="Q103" i="1" s="1"/>
  <c r="H104" i="1"/>
  <c r="R104" i="1" s="1"/>
  <c r="H105" i="1"/>
  <c r="H106" i="1"/>
  <c r="Q106" i="1" s="1"/>
  <c r="H107" i="1"/>
  <c r="Q107" i="1" s="1"/>
  <c r="H108" i="1"/>
  <c r="R108" i="1" s="1"/>
  <c r="H109" i="1"/>
  <c r="H110" i="1"/>
  <c r="Q110" i="1" s="1"/>
  <c r="H111" i="1"/>
  <c r="Q111" i="1" s="1"/>
  <c r="H112" i="1"/>
  <c r="R112" i="1" s="1"/>
  <c r="H113" i="1"/>
  <c r="H114" i="1"/>
  <c r="Q114" i="1" s="1"/>
  <c r="H115" i="1"/>
  <c r="Q115" i="1" s="1"/>
  <c r="H116" i="1"/>
  <c r="R116" i="1" s="1"/>
  <c r="H117" i="1"/>
  <c r="H118" i="1"/>
  <c r="Q118" i="1" s="1"/>
  <c r="H119" i="1"/>
  <c r="Q119" i="1" s="1"/>
  <c r="H120" i="1"/>
  <c r="R120" i="1" s="1"/>
  <c r="H121" i="1"/>
  <c r="H122" i="1"/>
  <c r="Q122" i="1" s="1"/>
  <c r="H123" i="1"/>
  <c r="Q123" i="1" s="1"/>
  <c r="H124" i="1"/>
  <c r="R124" i="1" s="1"/>
  <c r="H125" i="1"/>
  <c r="H126" i="1"/>
  <c r="Q126" i="1" s="1"/>
  <c r="H127" i="1"/>
  <c r="Q127" i="1" s="1"/>
  <c r="H128" i="1"/>
  <c r="R128" i="1" s="1"/>
  <c r="H129" i="1"/>
  <c r="H130" i="1"/>
  <c r="Q130" i="1" s="1"/>
  <c r="H131" i="1"/>
  <c r="Q131" i="1" s="1"/>
  <c r="H132" i="1"/>
  <c r="R132" i="1" s="1"/>
  <c r="H133" i="1"/>
  <c r="H134" i="1"/>
  <c r="Q134" i="1" s="1"/>
  <c r="H135" i="1"/>
  <c r="Q135" i="1" s="1"/>
  <c r="H22" i="1"/>
  <c r="R22" i="1" s="1"/>
  <c r="H23" i="1"/>
  <c r="Q23" i="1" s="1"/>
  <c r="H24" i="1"/>
  <c r="Q24" i="1" s="1"/>
  <c r="H25" i="1"/>
  <c r="Q25" i="1" s="1"/>
  <c r="H26" i="1"/>
  <c r="R26" i="1" s="1"/>
  <c r="H27" i="1"/>
  <c r="H21" i="1"/>
  <c r="Q21" i="1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3" i="1"/>
  <c r="R24" i="1"/>
  <c r="R25" i="1"/>
  <c r="R27" i="1"/>
  <c r="R29" i="1"/>
  <c r="R30" i="1"/>
  <c r="R31" i="1"/>
  <c r="R33" i="1"/>
  <c r="R34" i="1"/>
  <c r="R35" i="1"/>
  <c r="R37" i="1"/>
  <c r="R38" i="1"/>
  <c r="R39" i="1"/>
  <c r="R41" i="1"/>
  <c r="R42" i="1"/>
  <c r="R43" i="1"/>
  <c r="R45" i="1"/>
  <c r="R46" i="1"/>
  <c r="R47" i="1"/>
  <c r="R49" i="1"/>
  <c r="R50" i="1"/>
  <c r="R51" i="1"/>
  <c r="R53" i="1"/>
  <c r="R54" i="1"/>
  <c r="R55" i="1"/>
  <c r="R57" i="1"/>
  <c r="R58" i="1"/>
  <c r="R59" i="1"/>
  <c r="R61" i="1"/>
  <c r="R62" i="1"/>
  <c r="R63" i="1"/>
  <c r="R65" i="1"/>
  <c r="R66" i="1"/>
  <c r="R67" i="1"/>
  <c r="R69" i="1"/>
  <c r="R70" i="1"/>
  <c r="R71" i="1"/>
  <c r="R73" i="1"/>
  <c r="R74" i="1"/>
  <c r="R77" i="1"/>
  <c r="R78" i="1"/>
  <c r="R79" i="1"/>
  <c r="R81" i="1"/>
  <c r="R82" i="1"/>
  <c r="R83" i="1"/>
  <c r="R85" i="1"/>
  <c r="R86" i="1"/>
  <c r="R87" i="1"/>
  <c r="R89" i="1"/>
  <c r="R90" i="1"/>
  <c r="R91" i="1"/>
  <c r="R93" i="1"/>
  <c r="R94" i="1"/>
  <c r="R95" i="1"/>
  <c r="R97" i="1"/>
  <c r="R98" i="1"/>
  <c r="R99" i="1"/>
  <c r="R101" i="1"/>
  <c r="R102" i="1"/>
  <c r="R103" i="1"/>
  <c r="R105" i="1"/>
  <c r="R106" i="1"/>
  <c r="R107" i="1"/>
  <c r="R109" i="1"/>
  <c r="R110" i="1"/>
  <c r="R111" i="1"/>
  <c r="R113" i="1"/>
  <c r="R114" i="1"/>
  <c r="R115" i="1"/>
  <c r="R117" i="1"/>
  <c r="R118" i="1"/>
  <c r="R119" i="1"/>
  <c r="R121" i="1"/>
  <c r="R122" i="1"/>
  <c r="R123" i="1"/>
  <c r="R125" i="1"/>
  <c r="R126" i="1"/>
  <c r="R129" i="1"/>
  <c r="R130" i="1"/>
  <c r="R131" i="1"/>
  <c r="R133" i="1"/>
  <c r="R134" i="1"/>
  <c r="R135" i="1"/>
  <c r="Q17" i="1"/>
  <c r="Q18" i="1"/>
  <c r="Q19" i="1"/>
  <c r="Q20" i="1"/>
  <c r="Q27" i="1"/>
  <c r="Q29" i="1"/>
  <c r="Q33" i="1"/>
  <c r="Q37" i="1"/>
  <c r="Q41" i="1"/>
  <c r="Q44" i="1"/>
  <c r="Q45" i="1"/>
  <c r="Q49" i="1"/>
  <c r="Q52" i="1"/>
  <c r="Q53" i="1"/>
  <c r="Q57" i="1"/>
  <c r="Q60" i="1"/>
  <c r="Q61" i="1"/>
  <c r="Q65" i="1"/>
  <c r="Q68" i="1"/>
  <c r="Q69" i="1"/>
  <c r="Q73" i="1"/>
  <c r="Q76" i="1"/>
  <c r="Q77" i="1"/>
  <c r="Q81" i="1"/>
  <c r="Q84" i="1"/>
  <c r="Q85" i="1"/>
  <c r="Q89" i="1"/>
  <c r="Q92" i="1"/>
  <c r="Q93" i="1"/>
  <c r="Q97" i="1"/>
  <c r="Q100" i="1"/>
  <c r="Q101" i="1"/>
  <c r="Q105" i="1"/>
  <c r="Q108" i="1"/>
  <c r="Q109" i="1"/>
  <c r="Q113" i="1"/>
  <c r="Q116" i="1"/>
  <c r="Q117" i="1"/>
  <c r="Q121" i="1"/>
  <c r="Q124" i="1"/>
  <c r="Q125" i="1"/>
  <c r="Q129" i="1"/>
  <c r="Q132" i="1"/>
  <c r="Q133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R2" i="1"/>
  <c r="Q2" i="1"/>
  <c r="H12" i="1"/>
  <c r="H13" i="1"/>
  <c r="H14" i="1"/>
  <c r="H15" i="1"/>
  <c r="H16" i="1"/>
  <c r="H17" i="1"/>
  <c r="H18" i="1"/>
  <c r="H19" i="1"/>
  <c r="H20" i="1"/>
  <c r="H6" i="1"/>
  <c r="H7" i="1"/>
  <c r="H8" i="1"/>
  <c r="H9" i="1"/>
  <c r="H10" i="1"/>
  <c r="H11" i="1"/>
  <c r="H5" i="1"/>
  <c r="H4" i="1"/>
  <c r="H3" i="1"/>
  <c r="H2" i="1"/>
  <c r="R127" i="1" l="1"/>
  <c r="R75" i="1"/>
  <c r="R40" i="1"/>
  <c r="Q40" i="1"/>
  <c r="R36" i="1"/>
  <c r="Q36" i="1"/>
  <c r="R28" i="1"/>
  <c r="Q28" i="1"/>
  <c r="Q128" i="1"/>
  <c r="Q120" i="1"/>
  <c r="Q112" i="1"/>
  <c r="Q104" i="1"/>
  <c r="Q96" i="1"/>
  <c r="Q88" i="1"/>
  <c r="Q80" i="1"/>
  <c r="Q72" i="1"/>
  <c r="Q64" i="1"/>
  <c r="Q56" i="1"/>
  <c r="Q48" i="1"/>
  <c r="R32" i="1"/>
  <c r="Q32" i="1"/>
  <c r="Q26" i="1"/>
  <c r="Q22" i="1"/>
  <c r="R21" i="1"/>
  <c r="S5" i="1"/>
  <c r="S129" i="1"/>
  <c r="S135" i="1"/>
  <c r="S134" i="1"/>
  <c r="S133" i="1"/>
  <c r="S132" i="1"/>
  <c r="S131" i="1"/>
  <c r="S130" i="1"/>
  <c r="S128" i="1"/>
  <c r="S127" i="1"/>
  <c r="S126" i="1"/>
  <c r="S125" i="1"/>
  <c r="S124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" i="1"/>
  <c r="S3" i="1"/>
  <c r="S4" i="1"/>
  <c r="S6" i="1"/>
  <c r="S7" i="1"/>
  <c r="S8" i="1"/>
  <c r="S9" i="1"/>
  <c r="S10" i="1"/>
  <c r="S11" i="1"/>
  <c r="S12" i="1"/>
  <c r="S13" i="1"/>
  <c r="S14" i="1"/>
  <c r="S21" i="1"/>
  <c r="S19" i="1"/>
  <c r="S20" i="1"/>
  <c r="S16" i="1"/>
  <c r="S17" i="1"/>
  <c r="S18" i="1"/>
  <c r="S15" i="1"/>
  <c r="D27" i="2" l="1"/>
  <c r="D26" i="2"/>
  <c r="D24" i="2"/>
  <c r="D23" i="2"/>
  <c r="D18" i="2"/>
  <c r="D15" i="2"/>
  <c r="D14" i="2"/>
  <c r="D9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<sst xmlns="http://schemas.openxmlformats.org/spreadsheetml/2006/main" count="3383" uniqueCount="2092">
  <si>
    <t>Название</t>
  </si>
  <si>
    <t>Ед.Изм</t>
  </si>
  <si>
    <t>Мин</t>
  </si>
  <si>
    <t>Макс</t>
  </si>
  <si>
    <t>Уровень доступа</t>
  </si>
  <si>
    <t>Примечание</t>
  </si>
  <si>
    <t>0x000B</t>
  </si>
  <si>
    <t>0x000C</t>
  </si>
  <si>
    <t>PHYSIC_ANGLE</t>
  </si>
  <si>
    <t>OPERATION_WRITE</t>
  </si>
  <si>
    <t>PHYSIC_NUMERIC</t>
  </si>
  <si>
    <t>OPERATION_READ</t>
  </si>
  <si>
    <t>0x000D</t>
  </si>
  <si>
    <t>PHYSIC_VOLTAGE</t>
  </si>
  <si>
    <t>Напряжение защиты от КЗ инвертора</t>
  </si>
  <si>
    <t>Регистр управления тиристорами; используется только контроллером ПЧ</t>
  </si>
  <si>
    <t>Статус платы выпрямителя. Регистр для внутреннего использования в ПЧ</t>
  </si>
  <si>
    <t>Угол управления тиристорами; служебный регистр для отладки работы выпрямителя</t>
  </si>
  <si>
    <t>0x0014</t>
  </si>
  <si>
    <t>VSD_THYR_ANGLE_REFERENCE</t>
  </si>
  <si>
    <t>VSD_THYR_STATUS</t>
  </si>
  <si>
    <t>VSD_THYR_CONTROL</t>
  </si>
  <si>
    <t>VSD_THYR_VOLT_SHORT_CUILT</t>
  </si>
  <si>
    <t>VSD_INDICATOR_STATUS</t>
  </si>
  <si>
    <t>Статус индикатора</t>
  </si>
  <si>
    <t>VSD_DOUTPUTS</t>
  </si>
  <si>
    <t>0х001E</t>
  </si>
  <si>
    <t>Маска состояния цифровых выходов</t>
  </si>
  <si>
    <t>0х001F</t>
  </si>
  <si>
    <t>VSD_DINPUTS</t>
  </si>
  <si>
    <t>Маска состояния цифровых входов</t>
  </si>
  <si>
    <t>0х0020</t>
  </si>
  <si>
    <t>VSD_DOUTPUTS_ENABLE</t>
  </si>
  <si>
    <t>Маска включения цифровых выходов</t>
  </si>
  <si>
    <t>0х0021</t>
  </si>
  <si>
    <t>0х0022</t>
  </si>
  <si>
    <t>0х0023</t>
  </si>
  <si>
    <t>0х0024</t>
  </si>
  <si>
    <t>0х0025</t>
  </si>
  <si>
    <t>VSD_DOUTPUTS_DISABLE</t>
  </si>
  <si>
    <t>VSD_VENT_ON_TEMPERATURE</t>
  </si>
  <si>
    <t>VSD_VENT_OFF_TEMPERATURE</t>
  </si>
  <si>
    <t>VSD_VENT_PERIOD</t>
  </si>
  <si>
    <t>VSD_VENT_TEMPERATURE_FAULT</t>
  </si>
  <si>
    <t>PHYSIC_TIME</t>
  </si>
  <si>
    <t>PHYSIC_TEMPERATURE</t>
  </si>
  <si>
    <t>Маска выключения цифровых выходов</t>
  </si>
  <si>
    <t>Температура включения главного вентилятора</t>
  </si>
  <si>
    <t>Температура выключения главного вентилятора</t>
  </si>
  <si>
    <t>Период проверки температуры радиаторов</t>
  </si>
  <si>
    <t>Температура срабатывания тепловой защиты радиаторов</t>
  </si>
  <si>
    <t>hex</t>
  </si>
  <si>
    <t>dec</t>
  </si>
  <si>
    <t>VSD_INVERTOR_CONTROL</t>
  </si>
  <si>
    <t>VSD_INVERTOR_STATUS</t>
  </si>
  <si>
    <t>VSD_FREQUENCY_ERROR</t>
  </si>
  <si>
    <t>VSD_T_SPEEDUP</t>
  </si>
  <si>
    <t>VSD_T_SPEEDDOWN</t>
  </si>
  <si>
    <t>VSD_T_ILIMIT_SPEEDDOWN</t>
  </si>
  <si>
    <t>VSD_T_ULOW_SPEEDDOWN</t>
  </si>
  <si>
    <t>VSD_CURRENT_REGULATOR</t>
  </si>
  <si>
    <t>VSD_UF_U_FORCE</t>
  </si>
  <si>
    <t>VSD_UF_F_FORCE</t>
  </si>
  <si>
    <t>Флаговый регистр управления ПЧ</t>
  </si>
  <si>
    <t>Регистр состояния инвертора</t>
  </si>
  <si>
    <t>PHYSIC_FREQUENCY</t>
  </si>
  <si>
    <t>Уставка частоты вращения двигателя</t>
  </si>
  <si>
    <t>Текущая частота вращения двигателя</t>
  </si>
  <si>
    <t>Уставка частоты "тревожного" режима</t>
  </si>
  <si>
    <t>Максимум уставки частоты вращения двигателя</t>
  </si>
  <si>
    <t>Период нарастания частоты</t>
  </si>
  <si>
    <t>Период снижения частоты</t>
  </si>
  <si>
    <t>Период снижения частоты при токоограничении</t>
  </si>
  <si>
    <t>Период снижения частоты при нехватке напряжения на инверторе</t>
  </si>
  <si>
    <t xml:space="preserve">Тип текущего алгоритма управления </t>
  </si>
  <si>
    <t>Частота ШИМ инвертора</t>
  </si>
  <si>
    <t>Напряжение форсировки</t>
  </si>
  <si>
    <t>Частота форсировки</t>
  </si>
  <si>
    <t>VSD_UF_UHH</t>
  </si>
  <si>
    <t>VSD_IFB_COMP</t>
  </si>
  <si>
    <t>VSD_VUOUT_PROP</t>
  </si>
  <si>
    <t>IREG_FREQ_REF</t>
  </si>
  <si>
    <t>IREG_FREQ</t>
  </si>
  <si>
    <t>IREG_FREQ_REF_MAX</t>
  </si>
  <si>
    <t>Расчетное напряжение холостого хода</t>
  </si>
  <si>
    <t>Постоянная времени компенсации индуктивности</t>
  </si>
  <si>
    <t>Пропорциональный коэффициент ОС частотного контура регулирования</t>
  </si>
  <si>
    <t>IREG_MOTOR_F_MAX</t>
  </si>
  <si>
    <t>IREG_FREQ_PWM</t>
  </si>
  <si>
    <t>IREG_TEST0</t>
  </si>
  <si>
    <t>IREG_TEST1</t>
  </si>
  <si>
    <t>IREG_TEST2</t>
  </si>
  <si>
    <t>IREG_TEST3</t>
  </si>
  <si>
    <t>IREG_TEST4</t>
  </si>
  <si>
    <t>IREG_TEST5</t>
  </si>
  <si>
    <t>IREG_TEST6</t>
  </si>
  <si>
    <t>IREG_TEST7</t>
  </si>
  <si>
    <t>IREG_MOTOR_U_MAX</t>
  </si>
  <si>
    <t>IREG_MOTOR_I_MAX</t>
  </si>
  <si>
    <t>PHYSIC_CURRENT</t>
  </si>
  <si>
    <t>Максимальная частота вращения двигателя</t>
  </si>
  <si>
    <t>Максимальный ток двигателя</t>
  </si>
  <si>
    <t>Максимальное напряжение двигателя</t>
  </si>
  <si>
    <t>Тестовые регистры</t>
  </si>
  <si>
    <t>0х005A</t>
  </si>
  <si>
    <t>0х005B</t>
  </si>
  <si>
    <t>0х005С</t>
  </si>
  <si>
    <t>0х005D</t>
  </si>
  <si>
    <t>0х005E</t>
  </si>
  <si>
    <t>0х005F</t>
  </si>
  <si>
    <t>0х0060</t>
  </si>
  <si>
    <t>0х0061</t>
  </si>
  <si>
    <t>0х0062</t>
  </si>
  <si>
    <t>0х0063</t>
  </si>
  <si>
    <t>0х0064</t>
  </si>
  <si>
    <t>0х0065</t>
  </si>
  <si>
    <t>0х0066</t>
  </si>
  <si>
    <t>0х0067</t>
  </si>
  <si>
    <t>0х0068</t>
  </si>
  <si>
    <t>0х0069</t>
  </si>
  <si>
    <t>0х0070</t>
  </si>
  <si>
    <t>0х006A</t>
  </si>
  <si>
    <t>0х006B</t>
  </si>
  <si>
    <t>0х006C</t>
  </si>
  <si>
    <t>0х006D</t>
  </si>
  <si>
    <t>0х006E</t>
  </si>
  <si>
    <t>0х006F</t>
  </si>
  <si>
    <t>0х0071</t>
  </si>
  <si>
    <t>0х0072</t>
  </si>
  <si>
    <t>0х0073</t>
  </si>
  <si>
    <t>0х0074</t>
  </si>
  <si>
    <t>0х0075</t>
  </si>
  <si>
    <t>0х0076</t>
  </si>
  <si>
    <t>0х0077</t>
  </si>
  <si>
    <t>0х0078</t>
  </si>
  <si>
    <t>0х0079</t>
  </si>
  <si>
    <t>0х007A</t>
  </si>
  <si>
    <t>0х007B</t>
  </si>
  <si>
    <t>0х007C</t>
  </si>
  <si>
    <t>0х007D</t>
  </si>
  <si>
    <t>0х007E</t>
  </si>
  <si>
    <t>0х007F</t>
  </si>
  <si>
    <t>0х0080</t>
  </si>
  <si>
    <t>0х0081</t>
  </si>
  <si>
    <t>0х0082</t>
  </si>
  <si>
    <t>0х0083</t>
  </si>
  <si>
    <t>0х0084</t>
  </si>
  <si>
    <t>0х0085</t>
  </si>
  <si>
    <t>0х0086</t>
  </si>
  <si>
    <t>0х0087</t>
  </si>
  <si>
    <t>0х0088</t>
  </si>
  <si>
    <t>0х0089</t>
  </si>
  <si>
    <t>0х008A</t>
  </si>
  <si>
    <t>0х008B</t>
  </si>
  <si>
    <t>VSD_ILIMIT</t>
  </si>
  <si>
    <t>VSD_VUOUT_INTEG</t>
  </si>
  <si>
    <t>VSD_VTOUF_INTEG</t>
  </si>
  <si>
    <t>VSD_UOUT_RATED</t>
  </si>
  <si>
    <t>VSD_LOUT</t>
  </si>
  <si>
    <t>VSD_SW_STARTUP_FREQUENCY</t>
  </si>
  <si>
    <t>VSD_SW_STARTUP_ANGLE_OSC</t>
  </si>
  <si>
    <t>VSD_SW_STARTUP_ANGLE_SHIFT</t>
  </si>
  <si>
    <t>VSD_SW_STARTUP_OSC_COUNT</t>
  </si>
  <si>
    <t>VSD_SW_STARTUP_ROTATIONS</t>
  </si>
  <si>
    <t>VSD_SW_STARTUP_U_PULSE</t>
  </si>
  <si>
    <t>VSD_SW_STARTUP_I_LIM</t>
  </si>
  <si>
    <t>VSD_VFREQ_INTEG</t>
  </si>
  <si>
    <t>VSD_REGULATOR_QUEUE_1</t>
  </si>
  <si>
    <t>VSD_REGULATOR_QUEUE_2</t>
  </si>
  <si>
    <t>VSD_REGULATOR_QUEUE_3</t>
  </si>
  <si>
    <t>VSD_REGULATOR_QUEUE_4</t>
  </si>
  <si>
    <t>VSD_REGULATOR_QUEUE_5</t>
  </si>
  <si>
    <t>VSD_UD_LOW_FAULT</t>
  </si>
  <si>
    <t>VSD_UD_HIGH_FAULT</t>
  </si>
  <si>
    <t>VSD_UIN_ASYM_LEVEL</t>
  </si>
  <si>
    <t>VSD_UIN_ASYM_DELAY</t>
  </si>
  <si>
    <t>VSD_F_VECT</t>
  </si>
  <si>
    <t>VSD_VFREQ_GAIN</t>
  </si>
  <si>
    <t>VSD_VANGLE_GAIN</t>
  </si>
  <si>
    <t>VSD_RES_TIMECONST</t>
  </si>
  <si>
    <t>VSD_RES_IAMP_VALID</t>
  </si>
  <si>
    <t>VSD_IB</t>
  </si>
  <si>
    <t>VSD_PHB</t>
  </si>
  <si>
    <t>VSD_IC</t>
  </si>
  <si>
    <t>VSD_PHC</t>
  </si>
  <si>
    <t>VSD_SW_STARTUP_I_LIM_PULSE</t>
  </si>
  <si>
    <t>VSD_DECEL_SPEEDDOWN</t>
  </si>
  <si>
    <t>VSD_DECEL_VOLTAGE</t>
  </si>
  <si>
    <t>VSD_DECEL_F_MAX</t>
  </si>
  <si>
    <t>VSD_TIME_SECOND</t>
  </si>
  <si>
    <t>VSD_TIME_MINUTE</t>
  </si>
  <si>
    <t>VSD_TIME_HOUR</t>
  </si>
  <si>
    <t>VSD_TIME_DAY</t>
  </si>
  <si>
    <t>VSD_TIME_MONTH</t>
  </si>
  <si>
    <t>VSD_TIME_YEAR</t>
  </si>
  <si>
    <t>VSD_AST_IMEAS</t>
  </si>
  <si>
    <t>VSD_AST_UMEAS</t>
  </si>
  <si>
    <t>VSD_AST_LOUT_1_0</t>
  </si>
  <si>
    <t>VSD_INVERTOR_EXT_STATUS</t>
  </si>
  <si>
    <t>VSD_JARRING_PERIOD</t>
  </si>
  <si>
    <t>VSD_JARRING_UPDFREQ</t>
  </si>
  <si>
    <t>VSD_JARRING_UPTIME</t>
  </si>
  <si>
    <t>VSD_JARRING_DOWNDFREQ</t>
  </si>
  <si>
    <t>VSD_JARRING_DOWNTIME</t>
  </si>
  <si>
    <t>VSD_JARRING_MODE</t>
  </si>
  <si>
    <t>VSD_JARRING_TICK_CNT</t>
  </si>
  <si>
    <t>VSD_JARRING_SECOND_CNT</t>
  </si>
  <si>
    <t>VSD_START_FREQ</t>
  </si>
  <si>
    <t>VSD_IA</t>
  </si>
  <si>
    <t>VSD_PHA</t>
  </si>
  <si>
    <t>VSD_PHOUT</t>
  </si>
  <si>
    <t>Максимальный порог ограничения тока на выходе ПЧ</t>
  </si>
  <si>
    <t>PHYSIC_INDUNCTANCE</t>
  </si>
  <si>
    <t>Текущее выходное напряжение ПЧ</t>
  </si>
  <si>
    <t>Суммарная индуктивность на выходе ПЧ</t>
  </si>
  <si>
    <t>Частота пускового режима с раскачкой</t>
  </si>
  <si>
    <t>Угол раскачки</t>
  </si>
  <si>
    <t>Угол сдвига между шагами</t>
  </si>
  <si>
    <t>Число качаний на одном шаге</t>
  </si>
  <si>
    <t>Число полных оборотов в режиме с раскачкой</t>
  </si>
  <si>
    <t>Множитель напряжения импульса расклинки в режиме с раскачкой</t>
  </si>
  <si>
    <t>Порог мгновенного токоограничения в режиме с раскачкой</t>
  </si>
  <si>
    <t>Интегральный коэффициент ОС фазового контура регулирования</t>
  </si>
  <si>
    <t>Регистры рабочей очереди алгоритмов управления</t>
  </si>
  <si>
    <t xml:space="preserve">Порог защиты ПЧ по снижению напряжения на инверторе </t>
  </si>
  <si>
    <t xml:space="preserve">Порог защиты ПЧ по несимметрии входного напряжения на инверторе </t>
  </si>
  <si>
    <t>PHYSIC_PERCENT</t>
  </si>
  <si>
    <t xml:space="preserve">Порог защиты ПЧ по превыщению напряжения на инверторе </t>
  </si>
  <si>
    <t>Время срабатывания защиты ПЧ по несимметрии входного напряжения на инверторе</t>
  </si>
  <si>
    <t>Частота перехода на векторный алгоритм</t>
  </si>
  <si>
    <t>Пропорциональныы коэффициент ОС фазового контура регулирования</t>
  </si>
  <si>
    <t>Фазовый коэффициент усиления системы подавления резонанса</t>
  </si>
  <si>
    <t>Постоянная времени системы подавления резонанса</t>
  </si>
  <si>
    <t>Служебный регистр для отладки алгоритмов управления</t>
  </si>
  <si>
    <t>Выходной ток ПЧ по фазе В</t>
  </si>
  <si>
    <t>Фаза выходного тока В</t>
  </si>
  <si>
    <t>Выходной ток ПЧ по фазе С</t>
  </si>
  <si>
    <t>Порог токоограничения импульса расклинки в режиме с раскачкой</t>
  </si>
  <si>
    <t xml:space="preserve">Время снижения уставки в режиме остановки турбинного вращения </t>
  </si>
  <si>
    <t>Напряжение остаточного напряжения на шине (окончания разряда) в режиме остановки турбинного вращения (для ВД)</t>
  </si>
  <si>
    <t xml:space="preserve">Начальная частота режима остановки турбинного вращения </t>
  </si>
  <si>
    <t>PHYSIC_ACTIVE_POWER</t>
  </si>
  <si>
    <t>Текущая выходная активная мощность ПЧ</t>
  </si>
  <si>
    <t xml:space="preserve">Выходной ток ПЧ </t>
  </si>
  <si>
    <t>Величина измерительного тока автонастройки</t>
  </si>
  <si>
    <t>Величина измерительного напряжения автонастройки</t>
  </si>
  <si>
    <t>Измеренная величина выходной индуктивности автонастройки</t>
  </si>
  <si>
    <t>Расширенный регистр состояния инвертора</t>
  </si>
  <si>
    <t>Период экскурсий частоты режима встряхивания</t>
  </si>
  <si>
    <t>Величина прибавки частоты вращения выше уставки в режиме встряхивания</t>
  </si>
  <si>
    <t>Время прибавки частоты вращения выше уставки в режиме встряхивания</t>
  </si>
  <si>
    <t>Величина уменьшения частоты вращения ниже уставки в режиме встряхивания</t>
  </si>
  <si>
    <t>Время уменьшения частоты вращения ниже уставки в режиме встряхивания</t>
  </si>
  <si>
    <t>Стартовая частота вращения двигателя в основном режиме регулирования</t>
  </si>
  <si>
    <t>Выходной ток ПЧ по фазе A</t>
  </si>
  <si>
    <t>Фаза выходного тока A</t>
  </si>
  <si>
    <t xml:space="preserve">Усредненная фаза выходного тока ПЧ </t>
  </si>
  <si>
    <t>PHYSIC_FULL_POWER</t>
  </si>
  <si>
    <t>Текущая выходная полная мощность ПЧ</t>
  </si>
  <si>
    <t xml:space="preserve">Напряжение шины инвертора Ud </t>
  </si>
  <si>
    <t>0x000A</t>
  </si>
  <si>
    <t>ID</t>
  </si>
  <si>
    <t>Описание</t>
  </si>
  <si>
    <t>Надпись</t>
  </si>
  <si>
    <t>Форма</t>
  </si>
  <si>
    <t xml:space="preserve"> Уровень доступа</t>
  </si>
  <si>
    <t>Операция</t>
  </si>
  <si>
    <t>Физический смысл</t>
  </si>
  <si>
    <t>По умолчанию</t>
  </si>
  <si>
    <t>Формат</t>
  </si>
  <si>
    <t>Список значений</t>
  </si>
  <si>
    <t>VSD_FREQUENCY_NOW</t>
  </si>
  <si>
    <t>Выходная частота ПЧ</t>
  </si>
  <si>
    <t>Частота ПЧ</t>
  </si>
  <si>
    <t>1.0 Текущее параметры</t>
  </si>
  <si>
    <t>ACCESS_OPERATOR</t>
  </si>
  <si>
    <t>XXX_XX</t>
  </si>
  <si>
    <t>Текущий режим работы СУ</t>
  </si>
  <si>
    <t>VSD_FREQUENCY</t>
  </si>
  <si>
    <t>Уставка частоты</t>
  </si>
  <si>
    <t>VSD_SPEED_RPM_NOW</t>
  </si>
  <si>
    <t>Обороты двигателя</t>
  </si>
  <si>
    <t>PHYSIC_RPM</t>
  </si>
  <si>
    <t>XXXX</t>
  </si>
  <si>
    <t>CCS_MOTOR_CURRENT_AVARAGE_NOW</t>
  </si>
  <si>
    <t>Ток двигателя</t>
  </si>
  <si>
    <t>XXXX_X</t>
  </si>
  <si>
    <t>CCS_MOTOR_LOAD_NOW</t>
  </si>
  <si>
    <t>Загрузка двигателя</t>
  </si>
  <si>
    <t>CCS_TURBO_ROTATION</t>
  </si>
  <si>
    <t>Турбинное вращение</t>
  </si>
  <si>
    <t>XXX</t>
  </si>
  <si>
    <t>CCS_RESISTANCE_ISOLATION</t>
  </si>
  <si>
    <t>Сопротивление изоляции</t>
  </si>
  <si>
    <t>Rизоляции</t>
  </si>
  <si>
    <t>PHYSIC_RESISTANCE</t>
  </si>
  <si>
    <t>TMS_PRESSURE_INTAKE</t>
  </si>
  <si>
    <t>Давление на приёме</t>
  </si>
  <si>
    <t>PHYSIC_PRESSURE</t>
  </si>
  <si>
    <t>XX_XXX</t>
  </si>
  <si>
    <t>TMS_TEMPERATURE_WINDING</t>
  </si>
  <si>
    <t>Температура обмоток двигателя</t>
  </si>
  <si>
    <t>Тобм</t>
  </si>
  <si>
    <t>CCS_PHASE_ROTATION</t>
  </si>
  <si>
    <t>Порядок чередования фаз</t>
  </si>
  <si>
    <t>Порядок фаз</t>
  </si>
  <si>
    <t>TEXT</t>
  </si>
  <si>
    <t>0-ABC; 1-CBA</t>
  </si>
  <si>
    <t>VSD_OUT_VOLTAGE_MOTOR</t>
  </si>
  <si>
    <t>Напряжение на выходе ПЧ</t>
  </si>
  <si>
    <t>Напряжение ПЧ</t>
  </si>
  <si>
    <t>CCS_CONDITION</t>
  </si>
  <si>
    <t>Текущее состояние СУ</t>
  </si>
  <si>
    <t>Состояние СУ</t>
  </si>
  <si>
    <t>0-Останов; 1-Блок; 2-АПВ; 3-Ожидание; 4-Работа</t>
  </si>
  <si>
    <t>VSD_MOTOR_TYPE</t>
  </si>
  <si>
    <t>Тип двигателя</t>
  </si>
  <si>
    <t>0-Асинхронный; 1-Вентельный</t>
  </si>
  <si>
    <t>VSD_CONTROL_MOTOR</t>
  </si>
  <si>
    <t>Тип управления</t>
  </si>
  <si>
    <t>0-U/f; 1-Векторный</t>
  </si>
  <si>
    <t>VSD_ROTATION</t>
  </si>
  <si>
    <t>Направление вращения</t>
  </si>
  <si>
    <t>Напр. Вращения</t>
  </si>
  <si>
    <t>0-Прямое; 1-Обратное</t>
  </si>
  <si>
    <t>CCS_RUNNING_TYPE</t>
  </si>
  <si>
    <t>Режим пуска двигателя</t>
  </si>
  <si>
    <t>Режим пуска двиг.</t>
  </si>
  <si>
    <t>0-Нет; 1-Плавный; 2-Толчковый; 3-С раскачкой; 4-С синхронизацией; 5-Подхват; 6-Пропуск резонансных частот;</t>
  </si>
  <si>
    <t>CCS_WORKING_MODE</t>
  </si>
  <si>
    <t>Режим работы</t>
  </si>
  <si>
    <t>0-Останов; 1-Ручной; 2-Автоматический; 3-По программе</t>
  </si>
  <si>
    <t>Установка периода записи хронологии событий в обычном режиме в работе</t>
  </si>
  <si>
    <t>VSD_OUT_CURRENT_PHASE_1</t>
  </si>
  <si>
    <t>Выходной ток ПЧ фаза U</t>
  </si>
  <si>
    <t>Выходной ток ПЧ(U)</t>
  </si>
  <si>
    <t>1.1 Текущее параметры ЧРП</t>
  </si>
  <si>
    <t>VSD_OUT_CURRENT_PHASE_2</t>
  </si>
  <si>
    <t>Выходной ток ПЧ фаза V</t>
  </si>
  <si>
    <t>Выходной ток ПЧ(V)</t>
  </si>
  <si>
    <t>VSD_OUT_CURRENT_PHASE_3</t>
  </si>
  <si>
    <t>Выходной ток ПЧ фаза W</t>
  </si>
  <si>
    <t>Выходной ток ПЧ(W)</t>
  </si>
  <si>
    <t>Ток Id</t>
  </si>
  <si>
    <t>Напряжение Ud</t>
  </si>
  <si>
    <t>Коэффициент мощности</t>
  </si>
  <si>
    <t>Коэф. мощности</t>
  </si>
  <si>
    <t>Активная мощность</t>
  </si>
  <si>
    <t>Полная мощность</t>
  </si>
  <si>
    <t>3.1 Двигатель</t>
  </si>
  <si>
    <t>0 - Асинхронный; 1 - Вентильный</t>
  </si>
  <si>
    <t>VSD_MOTOR_SPEED</t>
  </si>
  <si>
    <t>Номинальная скорость</t>
  </si>
  <si>
    <t>VSD_MOTOR_POWER</t>
  </si>
  <si>
    <t>Номинальная мощность</t>
  </si>
  <si>
    <t>VSD_MOTOR_VOLTAGE</t>
  </si>
  <si>
    <t>Номинальное напряжение</t>
  </si>
  <si>
    <t>VSD_MOTOR_CURRENT</t>
  </si>
  <si>
    <t>Номинальный ток</t>
  </si>
  <si>
    <t>VSD_MOTOR_FREQUENCY</t>
  </si>
  <si>
    <t>Номинальная частота</t>
  </si>
  <si>
    <t>VSD_MOTOR_COS_PHI</t>
  </si>
  <si>
    <t>Номинальный cos(phi)</t>
  </si>
  <si>
    <t>VSD_D_AXIS_INDUNSTANCE</t>
  </si>
  <si>
    <t>Индуктивность</t>
  </si>
  <si>
    <t>VSD_BACK_EMF</t>
  </si>
  <si>
    <t>Удельная ЭДС</t>
  </si>
  <si>
    <t>VSD_MOTOR_POLES</t>
  </si>
  <si>
    <t>Количество пар полюсов</t>
  </si>
  <si>
    <t>3.2 ЧРП</t>
  </si>
  <si>
    <t>VSD_LOW_LIM_SPEED_MOTOR</t>
  </si>
  <si>
    <t>Минимальная частота</t>
  </si>
  <si>
    <t>VSD_HIGH_LIM_SPEED_MOTOR</t>
  </si>
  <si>
    <t>Максимальная частота</t>
  </si>
  <si>
    <t>Уставка частоты (заданная частота или рабочая)</t>
  </si>
  <si>
    <t>VSD_TIMER_DISPERSAL</t>
  </si>
  <si>
    <t>Время разгона до ном. част. (до макс. Част )</t>
  </si>
  <si>
    <t>VSD_TIMER_DELAY</t>
  </si>
  <si>
    <t>Время торм. с ном. част.</t>
  </si>
  <si>
    <t>CCS_LOG_PERIOD_NORMAL</t>
  </si>
  <si>
    <t>Период записи</t>
  </si>
  <si>
    <t>2.0 Архивы</t>
  </si>
  <si>
    <t>CCS_LOG_PERIOD_FAST</t>
  </si>
  <si>
    <t>Период экстренной записи</t>
  </si>
  <si>
    <t>CCS_LOG_PERIOD_DHS</t>
  </si>
  <si>
    <t>Период записи ТМС</t>
  </si>
  <si>
    <t>CCS_MOTOR_CURRENT_HH</t>
  </si>
  <si>
    <t>Ток холостого хода</t>
  </si>
  <si>
    <t>CCS_TRANS_NOMINAL_POWER</t>
  </si>
  <si>
    <t>Мощность ТМПН</t>
  </si>
  <si>
    <t>3.3 ТМПН</t>
  </si>
  <si>
    <t>CCS_TRANS_NOMINAL_CURRENT</t>
  </si>
  <si>
    <t>Номинальный ток ТМПН /U КЗ ТМПН</t>
  </si>
  <si>
    <t>CCS_TRANS_NOMINAL_VOLTAGE</t>
  </si>
  <si>
    <t>Номинальное напряжение ТМПН</t>
  </si>
  <si>
    <t>CCS_TRANS_CABLE_LENGHT</t>
  </si>
  <si>
    <t>Длина кабеля</t>
  </si>
  <si>
    <t>CCS_TRANS_CABLE_CROSS</t>
  </si>
  <si>
    <t>Сечение кабеля</t>
  </si>
  <si>
    <t>CCS_TRANS_NEED_VOLTAGE_TAP_OFF</t>
  </si>
  <si>
    <t>Необх. U отпайки ТМПН</t>
  </si>
  <si>
    <t>CCS_TRANS_VOLTAGE_TAP_OFF</t>
  </si>
  <si>
    <t>Напряжение отпайки ТМПН</t>
  </si>
  <si>
    <t>CCS_DHS_TYPE</t>
  </si>
  <si>
    <t>Тип ТМС</t>
  </si>
  <si>
    <t>3.4 ТМС</t>
  </si>
  <si>
    <t>3.4.1 Настройки ТМС</t>
  </si>
  <si>
    <t>Умолч</t>
  </si>
  <si>
    <t>0х008С</t>
  </si>
  <si>
    <t>0х008D</t>
  </si>
  <si>
    <t>0х008E</t>
  </si>
  <si>
    <t>0х008F</t>
  </si>
  <si>
    <t>0х0090</t>
  </si>
  <si>
    <t>0х0091</t>
  </si>
  <si>
    <t>ОС стабилизации напряжения в векторе</t>
  </si>
  <si>
    <t>0х0092</t>
  </si>
  <si>
    <t>0х0093</t>
  </si>
  <si>
    <t>0х0094</t>
  </si>
  <si>
    <t>0х0095</t>
  </si>
  <si>
    <t>0х0096</t>
  </si>
  <si>
    <t>0х0097</t>
  </si>
  <si>
    <t>0х0098</t>
  </si>
  <si>
    <t>0х0099</t>
  </si>
  <si>
    <t>0х009A</t>
  </si>
  <si>
    <t>0х009B</t>
  </si>
  <si>
    <t>0х009C</t>
  </si>
  <si>
    <t>0х009D</t>
  </si>
  <si>
    <t>0х009E</t>
  </si>
  <si>
    <t>0х009F</t>
  </si>
  <si>
    <t>0х00A0</t>
  </si>
  <si>
    <t>0х00A1</t>
  </si>
  <si>
    <t>0х00A2</t>
  </si>
  <si>
    <t>0х00A3</t>
  </si>
  <si>
    <t>0х00A4</t>
  </si>
  <si>
    <t>VSD_INV_FAULT</t>
  </si>
  <si>
    <t>Регистр ошибок инвертора</t>
  </si>
  <si>
    <t>0х00A5</t>
  </si>
  <si>
    <t>0х00A6</t>
  </si>
  <si>
    <t>0х00A7</t>
  </si>
  <si>
    <t>0х00A8</t>
  </si>
  <si>
    <t>0х00A9</t>
  </si>
  <si>
    <t>0х00AA</t>
  </si>
  <si>
    <t>0х00AB</t>
  </si>
  <si>
    <t>0х00AC</t>
  </si>
  <si>
    <t>0x00AD</t>
  </si>
  <si>
    <t>0х00AE</t>
  </si>
  <si>
    <t>0х00AF</t>
  </si>
  <si>
    <t>0х00B0</t>
  </si>
  <si>
    <t>0х00B1</t>
  </si>
  <si>
    <t>0х00B2</t>
  </si>
  <si>
    <t>0х00B3</t>
  </si>
  <si>
    <t>0х00B4</t>
  </si>
  <si>
    <t>VSD_SOUT</t>
  </si>
  <si>
    <t>VSD_M_IRMS</t>
  </si>
  <si>
    <t>Уровень защиты i2t двигателя</t>
  </si>
  <si>
    <t>0x00B5</t>
  </si>
  <si>
    <t>VSD_M_TRMS</t>
  </si>
  <si>
    <t>Постоянная времени защиты i2t двигателя</t>
  </si>
  <si>
    <t>0x00B6</t>
  </si>
  <si>
    <t>VSD_OVERPWM2_ANGLE</t>
  </si>
  <si>
    <t>Максимальный угол остановки вектора в режиме</t>
  </si>
  <si>
    <t>0x00B7</t>
  </si>
  <si>
    <t>VSD_OVERPWM_GAIN</t>
  </si>
  <si>
    <t>Степень постоянной времени отработки</t>
  </si>
  <si>
    <t>0x00B8</t>
  </si>
  <si>
    <t>0x00B9</t>
  </si>
  <si>
    <t>0x00BA</t>
  </si>
  <si>
    <t>0x00BB</t>
  </si>
  <si>
    <t>0x00BC</t>
  </si>
  <si>
    <t>0x00BD</t>
  </si>
  <si>
    <t>0x00BE</t>
  </si>
  <si>
    <t>0x00BF</t>
  </si>
  <si>
    <t>0x00C0</t>
  </si>
  <si>
    <t>0x00C1</t>
  </si>
  <si>
    <t>0x00C2</t>
  </si>
  <si>
    <t>0x00C3</t>
  </si>
  <si>
    <t>0x00C4</t>
  </si>
  <si>
    <t>0x00C5</t>
  </si>
  <si>
    <t>0x00C6</t>
  </si>
  <si>
    <t>0x00C7</t>
  </si>
  <si>
    <t>0x00C8</t>
  </si>
  <si>
    <t>0x00C9</t>
  </si>
  <si>
    <t>0x00CA</t>
  </si>
  <si>
    <t>0x00CB</t>
  </si>
  <si>
    <t>0x00CC</t>
  </si>
  <si>
    <t>0x00CD</t>
  </si>
  <si>
    <t>0x00CE</t>
  </si>
  <si>
    <t>0x00CF</t>
  </si>
  <si>
    <t>0x00D0</t>
  </si>
  <si>
    <t>0x00D1</t>
  </si>
  <si>
    <t>0x00D2</t>
  </si>
  <si>
    <t>Стартовое напряжение торможения авторотации</t>
  </si>
  <si>
    <t>VSD_DECEL_U_MAX</t>
  </si>
  <si>
    <t>VSD_UF_U0</t>
  </si>
  <si>
    <t>Напряжение U/f двигателя, 0Гц</t>
  </si>
  <si>
    <t>Частота U/f двигателя, точка 1</t>
  </si>
  <si>
    <t>VSD_UF_F1</t>
  </si>
  <si>
    <t>VSD_UF_U1</t>
  </si>
  <si>
    <t>Напряжение U/f двигателя, точка 1</t>
  </si>
  <si>
    <t>VSD_UF_F2</t>
  </si>
  <si>
    <t>Частота U/f двигателя, точка 2</t>
  </si>
  <si>
    <t>VSD_UF_U2</t>
  </si>
  <si>
    <t>Напряжение U/f двигателя, точка 2</t>
  </si>
  <si>
    <t>VSD_UF_F3</t>
  </si>
  <si>
    <t>Частота U/f двигателя, точка 3</t>
  </si>
  <si>
    <t>VSD_UF_U3</t>
  </si>
  <si>
    <t>Напряжение U/f двигателя, точка 3</t>
  </si>
  <si>
    <t>VSD_UF_F4</t>
  </si>
  <si>
    <t>Частота U/f двигателя, точка 4</t>
  </si>
  <si>
    <t>VSD_UF_U4</t>
  </si>
  <si>
    <t>Напряжение U/f двигателя, точка 4</t>
  </si>
  <si>
    <t>VSD_UF_F5</t>
  </si>
  <si>
    <t>Частота U/f двигателя, точка 5</t>
  </si>
  <si>
    <t>VSD_UF_U5</t>
  </si>
  <si>
    <t>Напряжение U/f двигателя, точка 5</t>
  </si>
  <si>
    <t>VSD_UF_F6</t>
  </si>
  <si>
    <t>Частота U/f двигателя, точка 6</t>
  </si>
  <si>
    <t>VSD_UF_U6</t>
  </si>
  <si>
    <t>Напряжение U/f двигателя, точка 6</t>
  </si>
  <si>
    <t>VSD_FC_IRMS</t>
  </si>
  <si>
    <t>Ток тепловой защиты ПЧ длительный</t>
  </si>
  <si>
    <t>VSD_FC_OVERLOAD</t>
  </si>
  <si>
    <t>Макс. величина перегрузки для ПЧ</t>
  </si>
  <si>
    <t>VSD_FC_T_OVERLOAD</t>
  </si>
  <si>
    <t>Постоянная времени перегрузки ПЧ</t>
  </si>
  <si>
    <t>VSD_FC_ILIM_LONG</t>
  </si>
  <si>
    <t>Ограничение тока для импульсов</t>
  </si>
  <si>
    <t>Время импульса с общим (максимальным) токоограничением</t>
  </si>
  <si>
    <t>VSD_FC_TLIM</t>
  </si>
  <si>
    <t>Масштаб измеряемого напряжения ПЧ отн. базового 250А</t>
  </si>
  <si>
    <t>Уровень быстрой токовой защиты двигателя</t>
  </si>
  <si>
    <t>VSD_M_I_FAST</t>
  </si>
  <si>
    <t>Время отключения защиты двигателя после старта</t>
  </si>
  <si>
    <t>VSD_T_BLANK</t>
  </si>
  <si>
    <t>Уровень уставки тока для ПИД-регулятора</t>
  </si>
  <si>
    <t>VSD_PID_I_REF</t>
  </si>
  <si>
    <t>VSD_PID_T_REG</t>
  </si>
  <si>
    <t>Постоянная времени для ПИД-регулятора</t>
  </si>
  <si>
    <t>VSD_INV_STATUS3</t>
  </si>
  <si>
    <t>Регистр статуса инвертора 3</t>
  </si>
  <si>
    <t>Масштаб измеряемого тока ПЧ отн. базового 250А</t>
  </si>
  <si>
    <t>Физ.смысл</t>
  </si>
  <si>
    <t>ANGLE_DEGREES</t>
  </si>
  <si>
    <t>Состояние</t>
  </si>
  <si>
    <t>VALIDITY_ERROR</t>
  </si>
  <si>
    <t>Тип данных</t>
  </si>
  <si>
    <t>TYPE_DATA_INT16</t>
  </si>
  <si>
    <t>Частота</t>
  </si>
  <si>
    <t>VOLTAGE_VOLT</t>
  </si>
  <si>
    <t>TEMPERATURE_C</t>
  </si>
  <si>
    <t>TIME_SECOND</t>
  </si>
  <si>
    <t>FREQUENCY_HZ</t>
  </si>
  <si>
    <t>Коэффициент</t>
  </si>
  <si>
    <t>Scale</t>
  </si>
  <si>
    <t>MaxVal</t>
  </si>
  <si>
    <t>CURRENT_AMP</t>
  </si>
  <si>
    <t>INDUNCTANCE_mH</t>
  </si>
  <si>
    <t>ACTIV_POWER_VATT</t>
  </si>
  <si>
    <t>VSD_IOUT</t>
  </si>
  <si>
    <t>FULL_POWER_VA</t>
  </si>
  <si>
    <t>VSD_I_SCALE</t>
  </si>
  <si>
    <t>VSD_U_SCALE</t>
  </si>
  <si>
    <t>CCS_BEGIN</t>
  </si>
  <si>
    <t>VSD_TEST0</t>
  </si>
  <si>
    <t>VSD_TEST1</t>
  </si>
  <si>
    <t>VSD_TEST2</t>
  </si>
  <si>
    <t>VSD_TEST3</t>
  </si>
  <si>
    <t>VSD_TEST4</t>
  </si>
  <si>
    <t>VSD_TEST5</t>
  </si>
  <si>
    <t>VSD_TEST6</t>
  </si>
  <si>
    <t>VSD_TEST7</t>
  </si>
  <si>
    <t>CCS_END</t>
  </si>
  <si>
    <t>VSD_END</t>
  </si>
  <si>
    <t>CCS_MOTOR_SPEED_NOW</t>
  </si>
  <si>
    <t>Текущие обороты двигателя</t>
  </si>
  <si>
    <t>CCS_MOTOR_CURRENT_PHASE_1_NOW</t>
  </si>
  <si>
    <t>Ток двигателя фаза 1</t>
  </si>
  <si>
    <t>CCS_MOTOR_CURRENT_PHASE_2_NOW</t>
  </si>
  <si>
    <t>Ток двигателя фаза 2</t>
  </si>
  <si>
    <t>CCS_MOTOR_CURRENT_PHASE_3_NOW</t>
  </si>
  <si>
    <t>Ток двигателя фаза 3</t>
  </si>
  <si>
    <t>Ток двигателя средний</t>
  </si>
  <si>
    <t>Текущая загрузка двигателя</t>
  </si>
  <si>
    <t>Обобщенное состояние защит КСУ</t>
  </si>
  <si>
    <t>Текущее турбинное вращение</t>
  </si>
  <si>
    <t>CCS_MOTOR_VOLTAGE_NOW</t>
  </si>
  <si>
    <t>Текущее напряжение двигателя</t>
  </si>
  <si>
    <t>CCS_MOTOR_COS_PHI_NOW</t>
  </si>
  <si>
    <t>TMS_RESISTANCE_ISOLATION</t>
  </si>
  <si>
    <t>VSD_MOTOR_CONTROL</t>
  </si>
  <si>
    <t>VSD_CURRENT_OUT_PHASE_1</t>
  </si>
  <si>
    <t>VSD_CURRENT_OUT_PHASE_2</t>
  </si>
  <si>
    <t>VSD_CURRENT_OUT_PHASE_3</t>
  </si>
  <si>
    <t>VSD_VOLTAGE_DC</t>
  </si>
  <si>
    <t>VSD_CURRENT_DC</t>
  </si>
  <si>
    <t>VSD_POWER_ACTIVE</t>
  </si>
  <si>
    <t>VSD_POWER_FULL_OUT_NOW</t>
  </si>
  <si>
    <t>VSD_POWER_ACTIVE_OUT_NOW</t>
  </si>
  <si>
    <t>TMS_END</t>
  </si>
  <si>
    <t>EM_FREQUENCY</t>
  </si>
  <si>
    <t>EM_VOLTAGE_PHASE_1</t>
  </si>
  <si>
    <t>EM_VOLTAGE_PHASE_2</t>
  </si>
  <si>
    <t>EM_VOLTAGE_PHASE_3</t>
  </si>
  <si>
    <t>Дисбаланс входного напряжения</t>
  </si>
  <si>
    <t>EM_CURRENT_PHASE_1</t>
  </si>
  <si>
    <t>EM_CURRENT_PHASE_2</t>
  </si>
  <si>
    <t>EM_CURRENT_PHASE_3</t>
  </si>
  <si>
    <t>Дисбаланс входного тока</t>
  </si>
  <si>
    <t>EM_ACTIVE_POWER</t>
  </si>
  <si>
    <t>EM_FULL_POWER</t>
  </si>
  <si>
    <t>EM_ACTIVE_ENERGY</t>
  </si>
  <si>
    <t>CCS_VOLTAGE_IMBALANCE_IN</t>
  </si>
  <si>
    <t>CCS_CURRENT_IMBALANCE_IN</t>
  </si>
  <si>
    <t>CCS_MOTOR_CURRENT_IMBALANCE</t>
  </si>
  <si>
    <t>Дисбаланс токов двигателя</t>
  </si>
  <si>
    <t>TMS_TEMPERATURE_INTAKE</t>
  </si>
  <si>
    <t>TMS_ACCELERATION_X_INTAKE</t>
  </si>
  <si>
    <t>TMS_ACCELERATION_Y_INTAKE</t>
  </si>
  <si>
    <t>TMS_ACCELERATION_Z_INTAKE</t>
  </si>
  <si>
    <t>TMS_PRESSURE_DISCHARGE</t>
  </si>
  <si>
    <t>TMS_TEMPERATURE_DISCHARGE</t>
  </si>
  <si>
    <t>TMS_FLOW_DISCHARGE</t>
  </si>
  <si>
    <t>TMS_ACCELERATION_XY_INTAKE</t>
  </si>
  <si>
    <t>TMS_ACCELERATIN_XYZ_INTAKE</t>
  </si>
  <si>
    <t>TMS_MAX_PRESSURE_INTAKE</t>
  </si>
  <si>
    <t>TMS_MAX_TEMPERATUR_WINDING</t>
  </si>
  <si>
    <t>TMS_MAX_TEMPERATURE_INTAKE</t>
  </si>
  <si>
    <t>TMS_MAX_ACCELERATION_INTAKE</t>
  </si>
  <si>
    <t>TMS_FAIL_LINK_TMSP</t>
  </si>
  <si>
    <t>TMS_MANUFACTURE_TMSP</t>
  </si>
  <si>
    <t>TMS_NUMBER_TMSP</t>
  </si>
  <si>
    <t>TMS_DATE_TMSP</t>
  </si>
  <si>
    <t>TMS_CONSTRUCTION_TMSP</t>
  </si>
  <si>
    <t>TMS_PROTOCOL_TMSP</t>
  </si>
  <si>
    <t>TMS_SENSOR_TMSP</t>
  </si>
  <si>
    <t>TMS_SOFT_TMSP</t>
  </si>
  <si>
    <t>TMS_TIME_BIT</t>
  </si>
  <si>
    <t>TMS_MANUFACTURE_TMSN</t>
  </si>
  <si>
    <t>TMS_NUMBER_TMSN</t>
  </si>
  <si>
    <t>TMS_DATE_TMSN</t>
  </si>
  <si>
    <t>TMS_CONSTRUCTION_TMSN</t>
  </si>
  <si>
    <t>TMS_SOFT_TMSN</t>
  </si>
  <si>
    <t>TMS_PROTOCOL_TMSN</t>
  </si>
  <si>
    <t>TMS_MIN_FLOW_DISCHARGE</t>
  </si>
  <si>
    <t>TMS_MAX_FLOW_DISCHARGE</t>
  </si>
  <si>
    <t>TMS_MAX_PRESSURE_DISHARGE</t>
  </si>
  <si>
    <t>TMS_MAX_TEMPERATURE_DISCHARGE</t>
  </si>
  <si>
    <t>TMS_RESISTANCE_ISOLATION_TIME</t>
  </si>
  <si>
    <t>TMS_MEASURE_TIME</t>
  </si>
  <si>
    <t>TMS_RESISTANCE_TRANS_TIME</t>
  </si>
  <si>
    <t>TMS_NUMBER_WELL</t>
  </si>
  <si>
    <t>TMS_NUMBER_BUSH</t>
  </si>
  <si>
    <t>TMS_NUMBER_CDNG</t>
  </si>
  <si>
    <t>TMS_MODBUS_ADDRESS</t>
  </si>
  <si>
    <t>TMS_MODBUS_SPEED</t>
  </si>
  <si>
    <t>TMS_MODBUS_STOP_BIT</t>
  </si>
  <si>
    <t>TMS_DATA_TIME</t>
  </si>
  <si>
    <t>TMS_READ_STATIC_PARAM</t>
  </si>
  <si>
    <t>TMS_PACKAGE_ERROR_TMSP</t>
  </si>
  <si>
    <t>TMS_TEMPERATURE_MOTOR</t>
  </si>
  <si>
    <t>TMS_TEMPERATURE_UNIT</t>
  </si>
  <si>
    <t>TMS_PRESSURE_UNIT</t>
  </si>
  <si>
    <t>TMS_PSW_TMS</t>
  </si>
  <si>
    <t>TMS_PSW_TMSN</t>
  </si>
  <si>
    <t>TMS_PSW_TMSP_1</t>
  </si>
  <si>
    <t>TMS_PSW_TMSP_2</t>
  </si>
  <si>
    <t>TMS_ANGLE_INTAKE</t>
  </si>
  <si>
    <t xml:space="preserve"> Код изготовителя ТМСП</t>
  </si>
  <si>
    <t xml:space="preserve"> Серийный номер ТМСП</t>
  </si>
  <si>
    <t xml:space="preserve"> Дата изготовления ТМСП</t>
  </si>
  <si>
    <t xml:space="preserve"> Код конструкции ТМСП</t>
  </si>
  <si>
    <t xml:space="preserve"> Код протокола ТМСП</t>
  </si>
  <si>
    <t xml:space="preserve"> Состав датчиков ТМСП</t>
  </si>
  <si>
    <t xml:space="preserve"> Версия По ТМСП</t>
  </si>
  <si>
    <t xml:space="preserve"> Скорости передачи бита</t>
  </si>
  <si>
    <t xml:space="preserve"> Код завода изготовителя ТМСН</t>
  </si>
  <si>
    <t xml:space="preserve"> Заводской номер ТМСН</t>
  </si>
  <si>
    <t xml:space="preserve"> Дата изготовления ТМСН</t>
  </si>
  <si>
    <t xml:space="preserve"> Код конструкции ТМСН</t>
  </si>
  <si>
    <t xml:space="preserve"> Версия ПО ТМСН</t>
  </si>
  <si>
    <t xml:space="preserve"> Код протокола ТМСН</t>
  </si>
  <si>
    <t xml:space="preserve"> Минимальный расход на выкиде</t>
  </si>
  <si>
    <t xml:space="preserve"> Максимальный расход на выкиде</t>
  </si>
  <si>
    <t xml:space="preserve"> Максимальное давление на выкиде</t>
  </si>
  <si>
    <t xml:space="preserve"> Максимальная температура на выкиде</t>
  </si>
  <si>
    <t xml:space="preserve"> Время измерения сопротивления изоляции</t>
  </si>
  <si>
    <t xml:space="preserve"> Время измерения данных и передачи</t>
  </si>
  <si>
    <t xml:space="preserve"> Время перехода в режим измерения сопротивления изоляции</t>
  </si>
  <si>
    <t xml:space="preserve"> Номер скважины</t>
  </si>
  <si>
    <t xml:space="preserve"> Номер куста</t>
  </si>
  <si>
    <t xml:space="preserve"> Номер ЦДНГ</t>
  </si>
  <si>
    <t xml:space="preserve"> Адрес Modbus</t>
  </si>
  <si>
    <t xml:space="preserve"> Скорость Modbus</t>
  </si>
  <si>
    <t xml:space="preserve"> Количество Стоп-бит</t>
  </si>
  <si>
    <t xml:space="preserve"> Текущее дата время</t>
  </si>
  <si>
    <t xml:space="preserve"> Команда чтения статических параметров</t>
  </si>
  <si>
    <t xml:space="preserve"> Количество ошибок от ТМСП</t>
  </si>
  <si>
    <t xml:space="preserve"> Температура масла двигателя</t>
  </si>
  <si>
    <t xml:space="preserve"> Единицы измерения температуры</t>
  </si>
  <si>
    <t xml:space="preserve"> Единицы измерения давления</t>
  </si>
  <si>
    <t xml:space="preserve"> Слово состояние системы</t>
  </si>
  <si>
    <t xml:space="preserve"> Слово состояние наземного блока</t>
  </si>
  <si>
    <t xml:space="preserve"> Cлово состояние погружного блока</t>
  </si>
  <si>
    <t xml:space="preserve"> Слово состояние погружного блока 2</t>
  </si>
  <si>
    <t xml:space="preserve"> Зенитный угол</t>
  </si>
  <si>
    <t>TMS_HOWMIDITY</t>
  </si>
  <si>
    <t>CCS_AI_1_VALUE</t>
  </si>
  <si>
    <t>CCS_AI_2_VALUE</t>
  </si>
  <si>
    <t>CCS_AI_3_VALUE</t>
  </si>
  <si>
    <t>CCS_AI_4_VALUE</t>
  </si>
  <si>
    <t>CCS_DOOR_VALUE</t>
  </si>
  <si>
    <t>CCS_MONOMETR_CONTACT_VALUE</t>
  </si>
  <si>
    <t>CCS_DI_1_VALUE</t>
  </si>
  <si>
    <t>CCS_DI_2_VALUE</t>
  </si>
  <si>
    <t>CCS_DI_3_VALUE</t>
  </si>
  <si>
    <t>CCS_DI_4_VALUE</t>
  </si>
  <si>
    <t>Пустой регистр</t>
  </si>
  <si>
    <t xml:space="preserve"> Период записи</t>
  </si>
  <si>
    <t xml:space="preserve"> Период экстренной записи</t>
  </si>
  <si>
    <t xml:space="preserve"> Период записи ТМС</t>
  </si>
  <si>
    <t xml:space="preserve"> Ток холостого хода</t>
  </si>
  <si>
    <t xml:space="preserve"> Мощность ТМПН</t>
  </si>
  <si>
    <t xml:space="preserve"> Номинальный ток ТМПН</t>
  </si>
  <si>
    <t xml:space="preserve"> Номинальное напряжение ТМПН</t>
  </si>
  <si>
    <t xml:space="preserve"> Длина кабеля</t>
  </si>
  <si>
    <t xml:space="preserve"> Сечение кабеля</t>
  </si>
  <si>
    <t xml:space="preserve"> Необходимое напряжение отпайки</t>
  </si>
  <si>
    <t xml:space="preserve"> Напряжение отпайки</t>
  </si>
  <si>
    <t xml:space="preserve"> Тип ТМС</t>
  </si>
  <si>
    <t xml:space="preserve"> Производительность насоса</t>
  </si>
  <si>
    <t xml:space="preserve"> Напор ЭЦН</t>
  </si>
  <si>
    <t xml:space="preserve"> Глубина спуска</t>
  </si>
  <si>
    <t xml:space="preserve"> Включение</t>
  </si>
  <si>
    <t>выключение уставка</t>
  </si>
  <si>
    <t xml:space="preserve"> Реакция защиты уставка</t>
  </si>
  <si>
    <t xml:space="preserve"> Задержка активации уставка</t>
  </si>
  <si>
    <t xml:space="preserve"> Задержка срабатывания уставка</t>
  </si>
  <si>
    <t xml:space="preserve"> Задержка АПВ уставка</t>
  </si>
  <si>
    <t xml:space="preserve"> Количество АПВ уставка</t>
  </si>
  <si>
    <t xml:space="preserve"> Автосброс счетчика АПВ</t>
  </si>
  <si>
    <t xml:space="preserve"> Уставка срабатывания защиты</t>
  </si>
  <si>
    <t xml:space="preserve"> Уставка параметр защиты</t>
  </si>
  <si>
    <t xml:space="preserve"> Текущий параметр состояние автомата</t>
  </si>
  <si>
    <t xml:space="preserve"> Текущий параметр Фиксированное время</t>
  </si>
  <si>
    <t xml:space="preserve"> Текущий параметр Количество АПВ</t>
  </si>
  <si>
    <t xml:space="preserve"> Защита "Превышение питания сети"</t>
  </si>
  <si>
    <t xml:space="preserve"> Защита "Дисбаланс напряжения"</t>
  </si>
  <si>
    <t xml:space="preserve"> Защиты "Дисбаланс входных токов"</t>
  </si>
  <si>
    <t xml:space="preserve"> Защиты "Чередование фаз"</t>
  </si>
  <si>
    <t xml:space="preserve"> Защита "Перегруз" (ЗП)</t>
  </si>
  <si>
    <t xml:space="preserve"> Защита "Недогруз" (ЗП)</t>
  </si>
  <si>
    <t xml:space="preserve"> Защита "Дисбаланс токов двигателя"</t>
  </si>
  <si>
    <t xml:space="preserve"> Защита "Турбинное вращение"</t>
  </si>
  <si>
    <t xml:space="preserve"> Защита "Рассинхронизация ПВЭД"</t>
  </si>
  <si>
    <t xml:space="preserve"> Защита "Давление на приёме насоса"</t>
  </si>
  <si>
    <t xml:space="preserve"> Защита "Температура двигателя"</t>
  </si>
  <si>
    <t xml:space="preserve"> Защита "Сопротивление изоляции"</t>
  </si>
  <si>
    <t xml:space="preserve"> Защита "Вибрация двигателя"</t>
  </si>
  <si>
    <t xml:space="preserve"> Защиты Аналоговый вход 1</t>
  </si>
  <si>
    <t xml:space="preserve"> Защиты Аналоговый вход 2</t>
  </si>
  <si>
    <t xml:space="preserve"> Защиты Аналоговый вход 3</t>
  </si>
  <si>
    <t xml:space="preserve"> Защиты Аналоговый вход 4</t>
  </si>
  <si>
    <t xml:space="preserve"> Защиты по дискретным входам</t>
  </si>
  <si>
    <t xml:space="preserve"> Защита дискретный вход 2</t>
  </si>
  <si>
    <t xml:space="preserve"> Защита дискретный вход 3</t>
  </si>
  <si>
    <t xml:space="preserve"> Защита дискретный вход 4</t>
  </si>
  <si>
    <t xml:space="preserve"> Защита "Превышения числа пусков"</t>
  </si>
  <si>
    <t xml:space="preserve"> Защита "Блокировка силового отсека"</t>
  </si>
  <si>
    <t xml:space="preserve"> Защита "Аппаратные защиты ЧРП"</t>
  </si>
  <si>
    <t xml:space="preserve"> Защита "Контроль УКИ"</t>
  </si>
  <si>
    <t xml:space="preserve"> Режим периодический</t>
  </si>
  <si>
    <t xml:space="preserve"> Режим чередования частот</t>
  </si>
  <si>
    <t xml:space="preserve"> Режим чередования частот частота 1</t>
  </si>
  <si>
    <t xml:space="preserve"> Режим чередования частот время работы на частоте 1</t>
  </si>
  <si>
    <t xml:space="preserve"> Режим чередования частот уставка ЗСП</t>
  </si>
  <si>
    <t xml:space="preserve"> Режим чередования частот частота 2</t>
  </si>
  <si>
    <t xml:space="preserve"> Режим чередования частот время работы на частоте 2</t>
  </si>
  <si>
    <t xml:space="preserve"> Режим чередования частот уставка ЗСП 2</t>
  </si>
  <si>
    <t xml:space="preserve"> Режим программного изменения частоты</t>
  </si>
  <si>
    <t xml:space="preserve"> Параметры ВНР</t>
  </si>
  <si>
    <t xml:space="preserve"> Режим поддержания параметра включение</t>
  </si>
  <si>
    <t xml:space="preserve"> Режим поддержания параметра параметра</t>
  </si>
  <si>
    <t xml:space="preserve"> Режим поддержания параметра зависимость</t>
  </si>
  <si>
    <t xml:space="preserve"> Режим поддержания параметра поддержка значения</t>
  </si>
  <si>
    <t xml:space="preserve"> Режим поддержания параметра период регулирования</t>
  </si>
  <si>
    <t xml:space="preserve"> Режим поддержания параметра пропорциональный коэффициент</t>
  </si>
  <si>
    <t xml:space="preserve"> Режим поддержания параметра интегральный коэффициент</t>
  </si>
  <si>
    <t xml:space="preserve"> Режим поддержания параметра мин рабочая частота</t>
  </si>
  <si>
    <t xml:space="preserve"> Режим поддержания параметра макс рабочая частота</t>
  </si>
  <si>
    <t xml:space="preserve"> Режим встряхивания</t>
  </si>
  <si>
    <t xml:space="preserve"> Период экскурсий частоты режима встряхивания.</t>
  </si>
  <si>
    <t xml:space="preserve"> Величина прибавки частоты вращения выше уставки в режиме встряхивания</t>
  </si>
  <si>
    <t xml:space="preserve"> Время прибавки частоты вращения выше уставки в режиме встряхивания</t>
  </si>
  <si>
    <t xml:space="preserve"> Величина уменьшения частоты вращения ниже уставки в режиме встряхивания</t>
  </si>
  <si>
    <t xml:space="preserve"> Время уменьшения частоты вращения ниже уставки в режиме встряхивания</t>
  </si>
  <si>
    <t xml:space="preserve"> Режим Учёт нагрева кабеля вкл</t>
  </si>
  <si>
    <t>откл</t>
  </si>
  <si>
    <t xml:space="preserve"> Режим Учёт нагрева кабеля сопротивление при 20с</t>
  </si>
  <si>
    <t xml:space="preserve"> Режим Учёт нагрева кабеля сопротивление при 80с</t>
  </si>
  <si>
    <t xml:space="preserve"> Режим Учёт нагрева кабеля номинальный ток кабеля</t>
  </si>
  <si>
    <t xml:space="preserve"> Режим Учёт нагрева кабеля время нагрева</t>
  </si>
  <si>
    <t xml:space="preserve"> Режим оптимизации напряжения вкл</t>
  </si>
  <si>
    <t xml:space="preserve"> Режим оптимизации напряжения диапазон</t>
  </si>
  <si>
    <t xml:space="preserve"> Режим оптимизации напряжения шаг</t>
  </si>
  <si>
    <t xml:space="preserve"> Режим оптимизации напряжения первый цикл после запуска</t>
  </si>
  <si>
    <t xml:space="preserve"> Режим оптимизации напряжения периодичность оптимизации</t>
  </si>
  <si>
    <t xml:space="preserve"> Режим прокачки газа вкл</t>
  </si>
  <si>
    <t xml:space="preserve"> Режим прокачки газа</t>
  </si>
  <si>
    <t xml:space="preserve"> Режим ограничения тока вкл</t>
  </si>
  <si>
    <t xml:space="preserve"> Режим ограничения тока уставка</t>
  </si>
  <si>
    <t xml:space="preserve"> Режим ограничения тока шаг снижения частоты</t>
  </si>
  <si>
    <t xml:space="preserve"> Режим ограничения тока задержка срабатывания</t>
  </si>
  <si>
    <t xml:space="preserve"> Режим ограничения тока задержка АПВ</t>
  </si>
  <si>
    <t xml:space="preserve"> Коэффициент корректировки входного напряжения</t>
  </si>
  <si>
    <t xml:space="preserve"> Коэффициент корректировки выходного тока фаза U</t>
  </si>
  <si>
    <t xml:space="preserve"> Коэффициент корректировки выходного тока фаза V</t>
  </si>
  <si>
    <t xml:space="preserve"> Коэффициент корректировки выходного тока фаза W</t>
  </si>
  <si>
    <t xml:space="preserve"> Коэффициент корректировки сопротивления изоляции</t>
  </si>
  <si>
    <t xml:space="preserve"> Количество пусков</t>
  </si>
  <si>
    <t xml:space="preserve"> Количество отключений по перезрузу</t>
  </si>
  <si>
    <t xml:space="preserve"> Количество отключений по недогрузу</t>
  </si>
  <si>
    <t xml:space="preserve"> Количество отключений по другим защитам</t>
  </si>
  <si>
    <t xml:space="preserve"> Количество АПВ после остановов по напряжению</t>
  </si>
  <si>
    <t xml:space="preserve"> Количество АПВ после остановов по перегрузу</t>
  </si>
  <si>
    <t xml:space="preserve"> Количество АПВ после остановов по недогрузу</t>
  </si>
  <si>
    <t xml:space="preserve"> Количество АПВ после остановов по дисбалансу токов</t>
  </si>
  <si>
    <t xml:space="preserve"> Общее время работы СУ</t>
  </si>
  <si>
    <t xml:space="preserve"> Общее время простоя СУ</t>
  </si>
  <si>
    <t xml:space="preserve"> Текущая наработка</t>
  </si>
  <si>
    <t xml:space="preserve"> Текущий простой</t>
  </si>
  <si>
    <t xml:space="preserve"> Время до изменения режима</t>
  </si>
  <si>
    <t xml:space="preserve"> Время до запуска</t>
  </si>
  <si>
    <t xml:space="preserve"> Дата время последнего включения</t>
  </si>
  <si>
    <t xml:space="preserve"> Причина последнего пуска</t>
  </si>
  <si>
    <t xml:space="preserve"> Дата время последнего отключения</t>
  </si>
  <si>
    <t xml:space="preserve"> Причина носледнего отключения</t>
  </si>
  <si>
    <t xml:space="preserve"> Дата время изменения частоты</t>
  </si>
  <si>
    <t xml:space="preserve"> Предпоследняя частота</t>
  </si>
  <si>
    <t xml:space="preserve"> Тип КСУ</t>
  </si>
  <si>
    <t xml:space="preserve"> Код производителя КСУ</t>
  </si>
  <si>
    <t xml:space="preserve"> Заводской номер КСУ</t>
  </si>
  <si>
    <t xml:space="preserve"> Версия ПО КСУ</t>
  </si>
  <si>
    <t xml:space="preserve"> Версия ПО МС</t>
  </si>
  <si>
    <t xml:space="preserve"> Версия ПО ПЧ</t>
  </si>
  <si>
    <t xml:space="preserve"> Дата изготовления КСУ</t>
  </si>
  <si>
    <t xml:space="preserve"> Дата установки ПО КСУ</t>
  </si>
  <si>
    <t xml:space="preserve"> ДАта генерации ПО КСУ</t>
  </si>
  <si>
    <t xml:space="preserve"> Дата установки ПО ПЧ</t>
  </si>
  <si>
    <t xml:space="preserve"> Тип СУ</t>
  </si>
  <si>
    <t xml:space="preserve"> Код завода изготовителя СУ</t>
  </si>
  <si>
    <t xml:space="preserve"> Заводской номер СУ</t>
  </si>
  <si>
    <t xml:space="preserve"> Дата изготовления СУ</t>
  </si>
  <si>
    <t xml:space="preserve"> Примечание 1</t>
  </si>
  <si>
    <t xml:space="preserve"> Примечание 2</t>
  </si>
  <si>
    <t xml:space="preserve"> Примечание 3</t>
  </si>
  <si>
    <t xml:space="preserve"> Примечание 4</t>
  </si>
  <si>
    <t xml:space="preserve"> Примечание 5</t>
  </si>
  <si>
    <t xml:space="preserve"> Примечание 6</t>
  </si>
  <si>
    <t xml:space="preserve"> Примечание 7</t>
  </si>
  <si>
    <t xml:space="preserve"> Примечание 8</t>
  </si>
  <si>
    <t xml:space="preserve"> Примечание 9</t>
  </si>
  <si>
    <t xml:space="preserve"> Примечание 10</t>
  </si>
  <si>
    <t xml:space="preserve"> Дата время в формате POSIX</t>
  </si>
  <si>
    <t xml:space="preserve"> Дата время год</t>
  </si>
  <si>
    <t xml:space="preserve"> Дата время месяц</t>
  </si>
  <si>
    <t xml:space="preserve"> Дата время дни</t>
  </si>
  <si>
    <t xml:space="preserve"> Дата время часы</t>
  </si>
  <si>
    <t xml:space="preserve"> Дата время минуты</t>
  </si>
  <si>
    <t xml:space="preserve"> Дата время секунды</t>
  </si>
  <si>
    <t xml:space="preserve"> Дата время мс</t>
  </si>
  <si>
    <t xml:space="preserve"> Язык интерфейса</t>
  </si>
  <si>
    <t xml:space="preserve"> Включение системы паролей</t>
  </si>
  <si>
    <t xml:space="preserve"> Текущий уровень доступа</t>
  </si>
  <si>
    <t xml:space="preserve"> Пароль 1 уровня</t>
  </si>
  <si>
    <t xml:space="preserve"> Пароль 2 уровня</t>
  </si>
  <si>
    <t xml:space="preserve"> Пароль 3 уровня</t>
  </si>
  <si>
    <t xml:space="preserve"> Пароль 4 уровня</t>
  </si>
  <si>
    <t xml:space="preserve"> Пароль 5 уровня</t>
  </si>
  <si>
    <t xml:space="preserve"> Протокол телемеханики</t>
  </si>
  <si>
    <t xml:space="preserve"> Версия протокола телемеханики</t>
  </si>
  <si>
    <t xml:space="preserve"> Адресу СУ в телемеханике</t>
  </si>
  <si>
    <t xml:space="preserve"> Скорость опроса в телемеханике</t>
  </si>
  <si>
    <t xml:space="preserve"> Чётность в телемеханике</t>
  </si>
  <si>
    <t xml:space="preserve"> Количество стоп-бит в телемеханике</t>
  </si>
  <si>
    <t xml:space="preserve"> Задержка ответа в телемеханкие</t>
  </si>
  <si>
    <t xml:space="preserve"> Единицы измерения вибрации</t>
  </si>
  <si>
    <t xml:space="preserve"> Единицы измерения длины</t>
  </si>
  <si>
    <t xml:space="preserve"> Единицы измерения расхода</t>
  </si>
  <si>
    <t xml:space="preserve"> Единицы измерения площади</t>
  </si>
  <si>
    <t xml:space="preserve"> Состояние ЧРП</t>
  </si>
  <si>
    <t xml:space="preserve"> Команда остановки</t>
  </si>
  <si>
    <t xml:space="preserve"> Команда запуска</t>
  </si>
  <si>
    <t xml:space="preserve"> Последний параметр</t>
  </si>
  <si>
    <t xml:space="preserve"> Первый параметр ЧРП</t>
  </si>
  <si>
    <t xml:space="preserve"> Выходная частота ПЧ</t>
  </si>
  <si>
    <t xml:space="preserve"> Фиксированная скорость Danfoss 3-11 Уставка частоты, основной задаваемый параметр Novomet 0х0034 IREG_FREQ_REF</t>
  </si>
  <si>
    <t xml:space="preserve"> Обороты двигателя</t>
  </si>
  <si>
    <t xml:space="preserve"> Напряжение на выходе ПЧ</t>
  </si>
  <si>
    <t xml:space="preserve"> Конструкция двигателя Danfoss 1-10 Используется в интерфейсе</t>
  </si>
  <si>
    <t xml:space="preserve"> Принцип управления двигателем Danfoss 1-01 Не используется в проекте, только при конфигурировании</t>
  </si>
  <si>
    <t xml:space="preserve"> Выходной ток ПЧ фаза U</t>
  </si>
  <si>
    <t xml:space="preserve"> Выходной ток ПЧ фаза V</t>
  </si>
  <si>
    <t xml:space="preserve"> Выходной ток ПЧ фаза W</t>
  </si>
  <si>
    <t xml:space="preserve"> Ток звена постоянного тока</t>
  </si>
  <si>
    <t xml:space="preserve"> Напряжение цепи пост.тока Danfoss 16-30 Используется в проекте Novomet 0х008B IREG_UD</t>
  </si>
  <si>
    <t xml:space="preserve"> Активная мощность Danfoss 16-10 Используется в проекте Novomet 0х0071 IREG_POUT</t>
  </si>
  <si>
    <t xml:space="preserve"> Полная мощность</t>
  </si>
  <si>
    <t xml:space="preserve"> Мощность двигателя Danfoss 1-20 Используется в проекте, интерфейс</t>
  </si>
  <si>
    <t xml:space="preserve"> Напряжение двигателя Danfoss 1-22 Используется в проекте, интерфейс Novomet 0х0045 IREG_MOTOR_U_MAX</t>
  </si>
  <si>
    <t xml:space="preserve"> Номинальный ток двигателя Danfoss 1-24 Используется в проекте, интерфейс Novomet 0х0044 IREG_MOTOR_I_MAX</t>
  </si>
  <si>
    <t xml:space="preserve"> Скорость двигателя Danfoss 1-25 Используется в проекте, интерфейс</t>
  </si>
  <si>
    <t xml:space="preserve"> Частота двигателя Danfoss 1-23 Используется в проекте, интерфейс Novomet 0х0043 IREG_MOTOR_F_MAX</t>
  </si>
  <si>
    <t xml:space="preserve"> Номинальный косинус Фи Danfoss 14-43 Используется в проекте</t>
  </si>
  <si>
    <t xml:space="preserve"> Индуктивности по оси D Danfoss 1-37 Используется в проекте</t>
  </si>
  <si>
    <t xml:space="preserve"> Противо эдс Danfoss 1-40 Используется в проекте</t>
  </si>
  <si>
    <t xml:space="preserve"> Число полюсов двигателя Danfoss 1-39 Используется в проекте</t>
  </si>
  <si>
    <t xml:space="preserve"> Нижний предел скорости Danfoss 4-12 Гц Используется в проекте</t>
  </si>
  <si>
    <t xml:space="preserve"> Верхний передел скорости Danfoss 4-14 Используется в проекте Novomet 0х0037 IREG_FREQ_REF_MAX</t>
  </si>
  <si>
    <t xml:space="preserve"> Период нарастания частоты Novomet 0х0038 IREG_T_SPEEDUP</t>
  </si>
  <si>
    <t xml:space="preserve"> Период Период снижения частоты Novomet 0х0039 IREG_T_SPEEDDOWN</t>
  </si>
  <si>
    <t xml:space="preserve"> U</t>
  </si>
  <si>
    <t>f характеристика</t>
  </si>
  <si>
    <t xml:space="preserve"> Первая точка напряжения U</t>
  </si>
  <si>
    <t>f характеристики</t>
  </si>
  <si>
    <t xml:space="preserve"> Первая точка частоты U</t>
  </si>
  <si>
    <t xml:space="preserve"> Вторая точка напряжения U</t>
  </si>
  <si>
    <t xml:space="preserve"> Вторая точка частоты U</t>
  </si>
  <si>
    <t xml:space="preserve"> Третья точка напряжения U</t>
  </si>
  <si>
    <t xml:space="preserve"> Третья точка частоты U</t>
  </si>
  <si>
    <t xml:space="preserve"> Четвертая точка напряжения U</t>
  </si>
  <si>
    <t xml:space="preserve"> Четвертая точка частоты U</t>
  </si>
  <si>
    <t xml:space="preserve"> Пятая точка напряжения U</t>
  </si>
  <si>
    <t xml:space="preserve"> Пятая точка частоты U</t>
  </si>
  <si>
    <t xml:space="preserve"> Шестая точка напряжения U</t>
  </si>
  <si>
    <t xml:space="preserve"> Шестая точка частоты U</t>
  </si>
  <si>
    <t xml:space="preserve"> Угол управления тиристорами;</t>
  </si>
  <si>
    <t xml:space="preserve"> Статус платы выпрямителя.</t>
  </si>
  <si>
    <t xml:space="preserve"> Регистр управления тиристорами;</t>
  </si>
  <si>
    <t xml:space="preserve"> Напряжение защиты от КЗ инвертора.</t>
  </si>
  <si>
    <t xml:space="preserve"> Статус индикатора</t>
  </si>
  <si>
    <t xml:space="preserve"> Маска состояния цифровых выходов.</t>
  </si>
  <si>
    <t xml:space="preserve"> Маска состояния цифровых входов.</t>
  </si>
  <si>
    <t xml:space="preserve"> Маска включения цифровых выходов.</t>
  </si>
  <si>
    <t xml:space="preserve"> Маска выключения цифровых выходов.</t>
  </si>
  <si>
    <t xml:space="preserve"> Температура включения главного вентилятора.</t>
  </si>
  <si>
    <t xml:space="preserve"> Температура выключения главного вентилятора.</t>
  </si>
  <si>
    <t xml:space="preserve"> Период проверки температуры радиаторов</t>
  </si>
  <si>
    <t xml:space="preserve"> Температура срабатывания тепловой защиты радиаторов</t>
  </si>
  <si>
    <t xml:space="preserve"> Флаговый регистр управления</t>
  </si>
  <si>
    <t xml:space="preserve"> Регистр состояния инвертора</t>
  </si>
  <si>
    <t xml:space="preserve"> Уставка частоты "тревожного" режима</t>
  </si>
  <si>
    <t xml:space="preserve"> Период снижения частоты при токоограничении.</t>
  </si>
  <si>
    <t xml:space="preserve"> Период снижения частоты при нехватке напряжения на инверторе</t>
  </si>
  <si>
    <t xml:space="preserve"> Тип текущего алгоритма управления (регулятора)</t>
  </si>
  <si>
    <t xml:space="preserve"> Напряжение форсировки</t>
  </si>
  <si>
    <t xml:space="preserve"> Частота форсировки</t>
  </si>
  <si>
    <t xml:space="preserve"> Постоянная времени компенсации индуктивности</t>
  </si>
  <si>
    <t xml:space="preserve"> Пропорциональный коэффициент ОС частотного контура регулирования</t>
  </si>
  <si>
    <t xml:space="preserve"> Максимальный порог ограничения тока на выходе ПЧ, абс. вел</t>
  </si>
  <si>
    <t xml:space="preserve"> Интегральный коэффициент ОС частотного контура регулирования</t>
  </si>
  <si>
    <t xml:space="preserve"> Коэффициент постоянной времени обратного перехода с вектора на U</t>
  </si>
  <si>
    <t>f</t>
  </si>
  <si>
    <t xml:space="preserve"> Суммарная индуктивность на выходе ПЧ, фазное значение</t>
  </si>
  <si>
    <t xml:space="preserve"> Режим раскачки: частота</t>
  </si>
  <si>
    <t xml:space="preserve"> Режим раскачки: угол качания</t>
  </si>
  <si>
    <t xml:space="preserve"> Режим раскачки: угол сдвига</t>
  </si>
  <si>
    <t xml:space="preserve"> Режим раскачки: количество качаний на угол</t>
  </si>
  <si>
    <t xml:space="preserve"> Режим раскачки: количество оборотов двигателя</t>
  </si>
  <si>
    <t xml:space="preserve"> Режим раскачки: кратность напряжения импульса расклинки</t>
  </si>
  <si>
    <t xml:space="preserve"> Режим раскачки: токоограничение</t>
  </si>
  <si>
    <t xml:space="preserve"> Порог токоограничения импульса расклинки в режиме с раскачкой</t>
  </si>
  <si>
    <t xml:space="preserve"> Интегральный коэффициент ОС фазового контура регулирования</t>
  </si>
  <si>
    <t xml:space="preserve"> Регистры рабочей очереди алгоритмов управления</t>
  </si>
  <si>
    <t xml:space="preserve"> Порог защиты ПЧ по снижению напряжения на инверторе</t>
  </si>
  <si>
    <t xml:space="preserve"> Порог защиты ПЧ по превыщению напряжения на инверторе</t>
  </si>
  <si>
    <t xml:space="preserve"> Порог защиты ПЧ по несимметрии входного напряжения на инверторе</t>
  </si>
  <si>
    <t xml:space="preserve"> Время срабатывания защиты ПЧ по несимметрии входного напряжения на инверторе</t>
  </si>
  <si>
    <t xml:space="preserve"> Частота перехода на векторный алгоритм</t>
  </si>
  <si>
    <t xml:space="preserve"> Пропорциональный коэффициент ОС фазового контура регулирования</t>
  </si>
  <si>
    <t xml:space="preserve"> Фазовый коэффициент усиления системы подавления резонанса</t>
  </si>
  <si>
    <t xml:space="preserve"> Постоянная времени системы подавления резонанса</t>
  </si>
  <si>
    <t xml:space="preserve"> Служебный регистр для отладки алгоритмов управления</t>
  </si>
  <si>
    <t xml:space="preserve"> Выходной ток ПЧ по фазе В. (амплитудное значение)</t>
  </si>
  <si>
    <t xml:space="preserve"> Фаза выходного тока В</t>
  </si>
  <si>
    <t xml:space="preserve"> Выходной ток ПЧ по фазе C. (амплитудное значение)</t>
  </si>
  <si>
    <t xml:space="preserve"> Фаза выходного тока C</t>
  </si>
  <si>
    <t xml:space="preserve"> Время снижения уставки в режиме остановки турбинного вращения</t>
  </si>
  <si>
    <t xml:space="preserve"> Напряжение остаточного напряжения на шине (окончания разряда) в режиме остановки турбинного вращения (для ВД)</t>
  </si>
  <si>
    <t xml:space="preserve"> Начальная частота режима остановки турбинного вращения (для АД)</t>
  </si>
  <si>
    <t xml:space="preserve"> Время секунды</t>
  </si>
  <si>
    <t xml:space="preserve"> Время минуты</t>
  </si>
  <si>
    <t xml:space="preserve"> Время часы</t>
  </si>
  <si>
    <t xml:space="preserve"> Время дни</t>
  </si>
  <si>
    <t xml:space="preserve"> Время месяцы</t>
  </si>
  <si>
    <t xml:space="preserve"> Время годы</t>
  </si>
  <si>
    <t xml:space="preserve"> Величина измерительного тока автонастройки</t>
  </si>
  <si>
    <t xml:space="preserve"> Величина измерительного напряжения автонастройки</t>
  </si>
  <si>
    <t xml:space="preserve"> Измеренная величина выходной индуктивности автонастройки</t>
  </si>
  <si>
    <t xml:space="preserve"> Дополнительный регистр автонастройки, зарезервирован</t>
  </si>
  <si>
    <t xml:space="preserve"> Расширенный регистр состояния инвертора</t>
  </si>
  <si>
    <t xml:space="preserve"> Регистры обслуживания внутренних нужд режима встряхивания</t>
  </si>
  <si>
    <t xml:space="preserve"> Стартовая частота вращения двигателя в основном режиме регулирования</t>
  </si>
  <si>
    <t xml:space="preserve"> Выходной ток ПЧ по фазе A. (амплитудное значение)</t>
  </si>
  <si>
    <t xml:space="preserve"> Фаза выходного тока A</t>
  </si>
  <si>
    <t xml:space="preserve"> Усредненная фаза выходного тока ПЧ</t>
  </si>
  <si>
    <t xml:space="preserve"> Тестовый регистр 0</t>
  </si>
  <si>
    <t xml:space="preserve"> Тестовый регистр 1</t>
  </si>
  <si>
    <t xml:space="preserve"> Тестовый регистр 2</t>
  </si>
  <si>
    <t xml:space="preserve"> Тестовый регистр 3</t>
  </si>
  <si>
    <t xml:space="preserve"> Тестовый регистр 4</t>
  </si>
  <si>
    <t xml:space="preserve"> Тестовый регистр 5</t>
  </si>
  <si>
    <t xml:space="preserve"> Тестовый регистр 6</t>
  </si>
  <si>
    <t xml:space="preserve"> Тестовый регистр 7</t>
  </si>
  <si>
    <t xml:space="preserve"> Выходной ток ПЧ</t>
  </si>
  <si>
    <t xml:space="preserve"> Регистр ошибок инвертора</t>
  </si>
  <si>
    <t xml:space="preserve"> Текущая выходная полная мощность ПЧ</t>
  </si>
  <si>
    <t xml:space="preserve"> Уровень защиты i2t двигателя</t>
  </si>
  <si>
    <t xml:space="preserve"> Постоянная времени защиты i2t двигателя</t>
  </si>
  <si>
    <t xml:space="preserve"> Максимальный угол остановки вектора в режиме</t>
  </si>
  <si>
    <t xml:space="preserve"> Степень постоянной времени отработки</t>
  </si>
  <si>
    <t xml:space="preserve"> Стартовое напряжение торможения авторотации</t>
  </si>
  <si>
    <t xml:space="preserve"> Ток тепловой защиты ПЧ длительный</t>
  </si>
  <si>
    <t xml:space="preserve"> Ограничение тока для импульсов</t>
  </si>
  <si>
    <t xml:space="preserve"> Время импульса с общим (максимальным) токоограничением</t>
  </si>
  <si>
    <t xml:space="preserve"> Масштаб измеряемого напряжения ПЧ отн. базового 250А</t>
  </si>
  <si>
    <t xml:space="preserve"> Масштаб измеряемого тока ПЧ отн. базового 250А</t>
  </si>
  <si>
    <t xml:space="preserve"> Уровень быстрой токовой защиты двигателя</t>
  </si>
  <si>
    <t xml:space="preserve"> Время отключения защиты двигателя после старта</t>
  </si>
  <si>
    <t xml:space="preserve"> Уровень уставки тока для ПИД-регулятора</t>
  </si>
  <si>
    <t xml:space="preserve"> Постоянная времени для ПИД-регулятора</t>
  </si>
  <si>
    <t xml:space="preserve"> Расширенные слово состояния 3</t>
  </si>
  <si>
    <t xml:space="preserve"> Режим конфигурирования Danfoss 1-00 Не используется в проекте, только при конфигурировании</t>
  </si>
  <si>
    <t xml:space="preserve"> Время разгона Danfoss 3-41 % Активно используется в проекте</t>
  </si>
  <si>
    <t xml:space="preserve"> Время замедления Danfoss 3-42 % Активно используется в проекте</t>
  </si>
  <si>
    <t xml:space="preserve"> Указатель индекса для массивных параметров Danfoss 0x0008 используется для массивов параметров</t>
  </si>
  <si>
    <t xml:space="preserve"> Единицы измерения скорости Danfoss 0-02 Не используется в проекте, только при конфигурировании</t>
  </si>
  <si>
    <t xml:space="preserve"> Характеристика момента нагрузки Danfoss 1-03 Не используется в проекте, только при конфигурировании</t>
  </si>
  <si>
    <t xml:space="preserve"> Режим перегрузки Danfoss 1-04 Не используется в проекте, только при конфигурировании</t>
  </si>
  <si>
    <t xml:space="preserve"> Усиление демпфирования Danfoss 1-14 Не используется в проекте, только при конфигурировании</t>
  </si>
  <si>
    <t xml:space="preserve"> Время фильтрации при низкой скорости Danfoss 1-15 Используется в режиме автоадаптации</t>
  </si>
  <si>
    <t xml:space="preserve"> Время фильтрации при высокой скорости Danfoss 1-16 Используется в режиме автоадаптации</t>
  </si>
  <si>
    <t xml:space="preserve"> Длительный номинальный момент двигателе Danfoss 1-26 Записывается в проекте один раз</t>
  </si>
  <si>
    <t xml:space="preserve"> Сопротивление статора Danfoss 1-30 Используется в режиме автоадаптации</t>
  </si>
  <si>
    <t xml:space="preserve"> Характеристика Uf - U Danfoss 1-55</t>
  </si>
  <si>
    <t xml:space="preserve"> Характеристика Uf - f Danfoss 1-56</t>
  </si>
  <si>
    <t xml:space="preserve"> Подавление резонанса % Danfoss 1-64 Не используется в проекте, только при конфигурировании</t>
  </si>
  <si>
    <t xml:space="preserve"> Постаянная времени подавления Danfoss 1-65 Не используется в проекте, только при конфигурировании Novomet 0x0067</t>
  </si>
  <si>
    <t xml:space="preserve"> Минимальный ток при низкой скорости Danfoss 1-66 Не используется в проекте, только при конфигурировании</t>
  </si>
  <si>
    <t xml:space="preserve"> Тип запуска вентиля Danfoss 1-70 Не используется в проекте, только при конфигурировании</t>
  </si>
  <si>
    <t xml:space="preserve"> Задержка запуска Danfoss 1-71 Используется в защите от невыхода на заданную частоту</t>
  </si>
  <si>
    <t xml:space="preserve"> Функция запуска Danfoss 1-72 Не используется в проекте, только при конфигурировании</t>
  </si>
  <si>
    <t xml:space="preserve"> Функция при остановке Danfoss 1-80 Не используется в проекте, только при конфигурировании</t>
  </si>
  <si>
    <t xml:space="preserve"> Минимальная скорость для функции при останове Danfoss 1-82 Не используется в проекте, только при конфигурировании</t>
  </si>
  <si>
    <t xml:space="preserve"> Контроль термистора двигателя Danfoss 1-90 Не используется в проекте, только при конфигурировании</t>
  </si>
  <si>
    <t xml:space="preserve"> Вход термистора Danfoss 1-93 Не используется в проекте, только при конфигурировании</t>
  </si>
  <si>
    <t xml:space="preserve"> Начальный ток Danfoss 2-06 Не используется в проекте, только при конфигурировании</t>
  </si>
  <si>
    <t xml:space="preserve"> Длительность действия начального ток  Danfoss 2-07 В проекте есть, но отключено, используется при конфигурировании</t>
  </si>
  <si>
    <t xml:space="preserve"> Контроль перенапряжения Danfoss 2-17 Не используется в проекте, только при конфигурировании</t>
  </si>
  <si>
    <t xml:space="preserve"> Минимальное задание Danfoss 3-02 Не используется в проекте, только при конфигурировании</t>
  </si>
  <si>
    <t xml:space="preserve"> Максимальное задани Danfoss 3-03 Не используется в проекте, только при конфигурировании</t>
  </si>
  <si>
    <t xml:space="preserve"> Ресурс задания 1 Danfoss 3-15 Не используется в проекте, только при конфигурировании</t>
  </si>
  <si>
    <t xml:space="preserve"> Ресурс задания 2 Danfoss 3-16 Не используется в проекте, только при конфигурировании</t>
  </si>
  <si>
    <t xml:space="preserve"> Ресурс задания 3 Danfoss 3-17 Не используется в проекте, только при конфигурировании</t>
  </si>
  <si>
    <t xml:space="preserve"> Тип изменения скорости Danfoss 3-40 Не используется в проекте, только при конфигурировании</t>
  </si>
  <si>
    <t xml:space="preserve"> Время разгона фиксированной скорости Danfoss 3-80 Используется в проекте один раз</t>
  </si>
  <si>
    <t xml:space="preserve"> Время замедления фиксированной скорости Danfoss 3-81 Используется в проекте один раз</t>
  </si>
  <si>
    <t xml:space="preserve"> Ограничение момента Danfoss 4-16 % Используется в защитах ЧРП. Интерфейс</t>
  </si>
  <si>
    <t xml:space="preserve"> Ограничение момента в режиме генератора Danfoss 4-17 % Не используется в проекте, только при конфигурировании</t>
  </si>
  <si>
    <t xml:space="preserve"> Предел тока Danfoss 4-18 %</t>
  </si>
  <si>
    <t xml:space="preserve"> Максимальная выходная частота Danfoss 4-19 Используется в проекте</t>
  </si>
  <si>
    <t xml:space="preserve"> Реакция на ошибку обратной связи Danfoss 4-30 Не используется в проекте, только при конфигурировании</t>
  </si>
  <si>
    <t xml:space="preserve"> Реакция на ошибку задания частоты Danfoss 4-34 Не используется в проекте, только при конфигурировании</t>
  </si>
  <si>
    <t xml:space="preserve"> Величина несоответствия частота Danfoss 4-35 Не используется в проекте, только при конфигурировании</t>
  </si>
  <si>
    <t xml:space="preserve"> Величина несоответствия частоты Danfoss 4-36 Не используется в проекте, только при конфигурировании</t>
  </si>
  <si>
    <t xml:space="preserve"> Величина несоответствия частоты при разгоне Danfoss 4-37 Не используется в проекте, только при конфигурировании</t>
  </si>
  <si>
    <t xml:space="preserve"> Задержка срабатывания при несоответствии частоты при разгоне Danfoss 4-38 Не используется в проекте, только при конфигурировании</t>
  </si>
  <si>
    <t xml:space="preserve"> Tracking Error After Ramping Timeout Danfoss 4-39 Не используется в проекте, только при конфигурировании</t>
  </si>
  <si>
    <t xml:space="preserve"> Danfoss 4-50 Не используется в проекте, только при конфигурировании</t>
  </si>
  <si>
    <t xml:space="preserve"> Danfoss 4-51 Не используется в проекте, только при конфигурировании</t>
  </si>
  <si>
    <t xml:space="preserve"> Минимальная скорость Danfoss 4-52 об</t>
  </si>
  <si>
    <t>мин Не используется в проекте, только при конфигурировании</t>
  </si>
  <si>
    <t xml:space="preserve"> Режим клеммы 27 Danfoss 5-01 Не используется в проекте, только при конфигурировании</t>
  </si>
  <si>
    <t xml:space="preserve"> Режим клеммы 29 Danfoss 5-02 Не используется в проекте, только при конфигурировании</t>
  </si>
  <si>
    <t xml:space="preserve"> Цифровой вход 18 Danfoss 5-10 Не используется в проекте, только при конфигурировании</t>
  </si>
  <si>
    <t xml:space="preserve"> Цифровой вход 19 Danfoss 5-11 Не используется в проекте, только при конфигурировании</t>
  </si>
  <si>
    <t xml:space="preserve"> Цифровой вход 27 Danfoss 5-12 Не используется в проекте, только при конфигурировании</t>
  </si>
  <si>
    <t xml:space="preserve"> Цифровой вход 32 Danfoss 5-14 Не используется в проекте, только при конфигурировании</t>
  </si>
  <si>
    <t xml:space="preserve"> Цифровой вход 33 Danfoss 5-15 Не используется в проекте, только при конфигурировании</t>
  </si>
  <si>
    <t xml:space="preserve"> Клемма 27 Цифровой вход Danfoss 5-30 Не используется в проекте, только при конфигурировании</t>
  </si>
  <si>
    <t xml:space="preserve"> Клемма 29 Цифровой вход Danfoss 5-31 Не используется в проекте, только при конфигурировании</t>
  </si>
  <si>
    <t xml:space="preserve"> Реле функций Danfoss 5-40 Не используется в проекте, только при конфигурировании</t>
  </si>
  <si>
    <t xml:space="preserve"> Нипонятно Danfoss 5-41 Не используется в проекте, только при конфигурировании</t>
  </si>
  <si>
    <t xml:space="preserve"> Клемма 42 аналоговый вход Danfoss 6-50 Не используется в проекте, только при конфигурировании</t>
  </si>
  <si>
    <t xml:space="preserve"> Режим контроллера SL Danfoss 13-00 Не используется в проекте, только при конфигурировании</t>
  </si>
  <si>
    <t xml:space="preserve"> Событие запуска Danfoss 13-01 Не используется в проекте, только при конфигурировании</t>
  </si>
  <si>
    <t xml:space="preserve"> Событие останова Danfoss 13-02 Не используется в проекте, только при конфигурировании</t>
  </si>
  <si>
    <t xml:space="preserve"> Сброс настроек компараторов Danfoss 13-03 Не используется в проекте, только при конфигурировании</t>
  </si>
  <si>
    <t xml:space="preserve"> Операнд сравнения компаратора Danfoss 13-10 Не используется в проекте, только при конфигурировании</t>
  </si>
  <si>
    <t xml:space="preserve"> Оператор сравнения компаратора Danfoss 13-11 Не используется в проекте, только при конфигурировании</t>
  </si>
  <si>
    <t xml:space="preserve"> Значение компаратора Danfoss 13-12 Не используется в проекте, только при конфигурировании</t>
  </si>
  <si>
    <t xml:space="preserve"> RS-FF Operand S Danfoss 13-15 Не используется в проекте, только при конфигурировании</t>
  </si>
  <si>
    <t xml:space="preserve"> RS-FF Operand R Danfoss 13-16 Не используется в проекте, только при конфигурировании</t>
  </si>
  <si>
    <t xml:space="preserve"> Временная задержка Danfoss 13-20 Не используется в проекте, только при конфигурировании</t>
  </si>
  <si>
    <t xml:space="preserve"> Булева переменная логического соотношения 1 Danfoss 13-40 Не используется в проекте, только при конфигурировании</t>
  </si>
  <si>
    <t xml:space="preserve"> Оператор логического соотношения 1 Danfoss 13-41 Не используется в проекте, только при конфигурировании</t>
  </si>
  <si>
    <t xml:space="preserve"> Булева переменная логического соотношения 2 Danfoss  13-42 Не используется в проекте, только при конфигурировании</t>
  </si>
  <si>
    <t xml:space="preserve"> Logic Rule Operator 2 Danfoss 13-43 Не используется в проекте, только при конфигурировании</t>
  </si>
  <si>
    <t xml:space="preserve"> Logic Rule Boolean 3 Danfoss 13-44 Не используется в проекте, только при конфигурировании</t>
  </si>
  <si>
    <t xml:space="preserve"> Событие контроллера SL Danfoss 13-51 Не используется в проекте, только при конфигурировании</t>
  </si>
  <si>
    <t xml:space="preserve"> Действие контроллера SL Danfoss 13-52 Не используется в проекте, только при конфигурировании</t>
  </si>
  <si>
    <t xml:space="preserve"> Частота коммутации Danfoss 14-01 Используется в проекте Novomet 0х003C IREG_FREQ_PWM</t>
  </si>
  <si>
    <t xml:space="preserve"> Сверхмодуляция Danfoss 14-03 Не используется в проекте, только при конфигурировании</t>
  </si>
  <si>
    <t xml:space="preserve"> Компенсация задержки Danfoss 14-06 Не используется в проекте, только при конфигурировании</t>
  </si>
  <si>
    <t xml:space="preserve"> Отказ питания Danfoss 14-10 Не используется в проекте, только при конфигурировании</t>
  </si>
  <si>
    <t xml:space="preserve"> Напряжение сети при отказе питания Danfoss 14-11 Не используется в проекте, только при конфигурировании</t>
  </si>
  <si>
    <t xml:space="preserve"> Режим сброса Danfoss 14-20 Не используется в проекте, только при конфигурировании</t>
  </si>
  <si>
    <t xml:space="preserve"> Время автоматического перезапуск Danfoss 14-21 Не используется в проекте, только при конфигурировании</t>
  </si>
  <si>
    <t xml:space="preserve"> Задержка перед выключение при пределе тока Danfoss 14-24 Не используется в проекте, только при конфигурировании</t>
  </si>
  <si>
    <t xml:space="preserve"> Задержка перед выключение при пределе моменте Danfoss 14-25 Не используется в проекте, только при конфигурировании</t>
  </si>
  <si>
    <t xml:space="preserve"> Время фильтра регулятора тока Danfoss 14-32 Используется в проекте, CalcParam()</t>
  </si>
  <si>
    <t xml:space="preserve"> Компенсация напряжения постоянного тока Danfoss 14-51 Не используется в проекте, только при конфигурировании</t>
  </si>
  <si>
    <t xml:space="preserve"> Управление вентилятором Danfoss 14-52 Не используется в проекте, только при конфигурировании</t>
  </si>
  <si>
    <t xml:space="preserve"> Выходной фильтр Danfoss 14-55 Используется в проекте, интерфейс</t>
  </si>
  <si>
    <t xml:space="preserve"> Сброс аварий Danfoss 14-90 Не используется в проекте, только при конфигурировании</t>
  </si>
  <si>
    <t xml:space="preserve"> Версия ПО ЧРП Danfoss 15-43 Используется в проекте</t>
  </si>
  <si>
    <t xml:space="preserve"> Командное слово Danfoss 16-00 Используется в проекте</t>
  </si>
  <si>
    <t xml:space="preserve"> Слово состояния Danfoss 16-03 Активно используется в проекте</t>
  </si>
  <si>
    <t xml:space="preserve"> Выходной ток средний</t>
  </si>
  <si>
    <t xml:space="preserve"> Температура радиатора Danfoss 16-34 Используется в проекте</t>
  </si>
  <si>
    <t xml:space="preserve"> Температура платы управления Danfoss 16-39 Используется в проекте</t>
  </si>
  <si>
    <t xml:space="preserve"> Цифровоый вход ПЧ Danfoss 16-60 Используется в проекте</t>
  </si>
  <si>
    <t xml:space="preserve"> Номер последней аварии и предупреждения Danfoss 16-87 Используется в проекте</t>
  </si>
  <si>
    <t xml:space="preserve"> Слово Аварии 1 Danfoss 16-90 Используется в проекте</t>
  </si>
  <si>
    <t xml:space="preserve"> Слово Аварии 2 Danfoss 16-91 Используется в проекте</t>
  </si>
  <si>
    <t xml:space="preserve"> Слово предупреждения 1 Danfoss 16-92 Используется в проекте</t>
  </si>
  <si>
    <t xml:space="preserve"> Слово предупреждения 2 Danfoss 16-93 Используется в проекте</t>
  </si>
  <si>
    <t xml:space="preserve"> Время применения высокого пускового момента Danfoss 30-20 Не используется в проекте, только при конфигурировании</t>
  </si>
  <si>
    <t xml:space="preserve"> Пусковой ток в % от номинального Danfoss 30-21 Не используется в проекте, только при конфигурировании</t>
  </si>
  <si>
    <t xml:space="preserve"> Защита блокировки ротора Danfoss 30-22 Не используется в проекте, только при конфигурировании</t>
  </si>
  <si>
    <t xml:space="preserve"> Время задержки аварии блокировки ротора Danfoss 30-23 Не используется в проекте, только при конфигурировании</t>
  </si>
  <si>
    <t xml:space="preserve"> Сопротивление изоляции</t>
  </si>
  <si>
    <t xml:space="preserve"> Давление на приёме</t>
  </si>
  <si>
    <t xml:space="preserve"> Температура обмоток двигателя</t>
  </si>
  <si>
    <t xml:space="preserve"> Температура на приёме</t>
  </si>
  <si>
    <t xml:space="preserve"> Ускорение по оси Х на приёме</t>
  </si>
  <si>
    <t xml:space="preserve"> Ускорение по оси Y на приёме</t>
  </si>
  <si>
    <t xml:space="preserve"> Ускорение по оси Z на приёме</t>
  </si>
  <si>
    <t xml:space="preserve"> Давление на выкиде</t>
  </si>
  <si>
    <t xml:space="preserve"> Температура на выкиде</t>
  </si>
  <si>
    <t xml:space="preserve"> Расход на выкиде</t>
  </si>
  <si>
    <t xml:space="preserve"> Ускорение по оси по трём осям</t>
  </si>
  <si>
    <t xml:space="preserve"> Максимальное давление на приёме</t>
  </si>
  <si>
    <t xml:space="preserve"> Максимальная температура обмоток</t>
  </si>
  <si>
    <t xml:space="preserve"> Максимальная температура на приёме</t>
  </si>
  <si>
    <t xml:space="preserve"> Максимальное ускорение</t>
  </si>
  <si>
    <t xml:space="preserve"> Обрыв связи с ТМСП</t>
  </si>
  <si>
    <t xml:space="preserve"> Обводненность</t>
  </si>
  <si>
    <t xml:space="preserve"> Первый параметр группы счётчиков электроэнергии</t>
  </si>
  <si>
    <t xml:space="preserve"> Напряжение первой фазы</t>
  </si>
  <si>
    <t xml:space="preserve"> Напряжение второй фазы</t>
  </si>
  <si>
    <t xml:space="preserve"> Напряжение третей фазы</t>
  </si>
  <si>
    <t xml:space="preserve"> Ток первой фазы</t>
  </si>
  <si>
    <t xml:space="preserve"> Ток второй фазы</t>
  </si>
  <si>
    <t xml:space="preserve"> Ток третей фазы</t>
  </si>
  <si>
    <t xml:space="preserve"> Общая активная мощность</t>
  </si>
  <si>
    <t xml:space="preserve"> Частота питающей сети</t>
  </si>
  <si>
    <t xml:space="preserve"> Общая активная энергия</t>
  </si>
  <si>
    <t xml:space="preserve"> Напряжение межфазное первой и второй фазы</t>
  </si>
  <si>
    <t xml:space="preserve"> Напряжение межфазное второй и третьей фазы</t>
  </si>
  <si>
    <t xml:space="preserve"> Напряжение межфазное третьей и первой фазы</t>
  </si>
  <si>
    <t xml:space="preserve"> Общий коэффициент мощности</t>
  </si>
  <si>
    <t xml:space="preserve"> Коэффициент мощности первой фазы</t>
  </si>
  <si>
    <t xml:space="preserve"> Коэффициент мощности второй фазы</t>
  </si>
  <si>
    <t xml:space="preserve"> Коэффициент мощности третей фазы</t>
  </si>
  <si>
    <t xml:space="preserve"> Полная мощность первой фазы</t>
  </si>
  <si>
    <t xml:space="preserve"> Полная мощность второй фазы</t>
  </si>
  <si>
    <t xml:space="preserve"> Полная мощность третей фазы</t>
  </si>
  <si>
    <t xml:space="preserve"> Активная мощность первой фазы</t>
  </si>
  <si>
    <t xml:space="preserve"> Активная мощность второй фазы</t>
  </si>
  <si>
    <t xml:space="preserve"> Активная мощность третей фазы</t>
  </si>
  <si>
    <t xml:space="preserve"> Общая реактивная мощность</t>
  </si>
  <si>
    <t xml:space="preserve"> Реактивная мощность первой фазы</t>
  </si>
  <si>
    <t xml:space="preserve"> Реактивная мощность второй фазы</t>
  </si>
  <si>
    <t xml:space="preserve"> Реактивная мощность третей фазы</t>
  </si>
  <si>
    <t xml:space="preserve"> Обшая активная плюс энергия за весь период</t>
  </si>
  <si>
    <t xml:space="preserve"> Обшая активная минус энергия за весь период</t>
  </si>
  <si>
    <t xml:space="preserve"> Активная плюс энергия за текущий день</t>
  </si>
  <si>
    <t xml:space="preserve"> Активная минус энергия за текущий день</t>
  </si>
  <si>
    <t xml:space="preserve"> Активная плюс энергия за предыдущий день</t>
  </si>
  <si>
    <t xml:space="preserve"> Активная плюс энергия за текущий месяц</t>
  </si>
  <si>
    <t xml:space="preserve"> Активная минус энергия за текущий месяц</t>
  </si>
  <si>
    <t xml:space="preserve"> Активная плюс энергия на предыдущий месяц</t>
  </si>
  <si>
    <t xml:space="preserve"> Активная минус энергия на предыдущий месяц</t>
  </si>
  <si>
    <t xml:space="preserve"> Общая реактивня энергия</t>
  </si>
  <si>
    <t xml:space="preserve"> Общая плюс реактивная энергия за весь период</t>
  </si>
  <si>
    <t xml:space="preserve"> Общая минус реактивная энергия за весь период</t>
  </si>
  <si>
    <t xml:space="preserve"> Плюс реактивная энергия за весь день</t>
  </si>
  <si>
    <t xml:space="preserve"> Минус реактивная энергия за весь день</t>
  </si>
  <si>
    <t xml:space="preserve"> Плюс реактивная энергия за месяц</t>
  </si>
  <si>
    <t xml:space="preserve"> Минус реактивная энергия за месяц</t>
  </si>
  <si>
    <t xml:space="preserve"> Плюс реактивная энергия за предыдущий месяц</t>
  </si>
  <si>
    <t xml:space="preserve"> Минус реактивная энергия за предыдущий месяц</t>
  </si>
  <si>
    <t xml:space="preserve"> Коэффицинт трансформации тока</t>
  </si>
  <si>
    <t xml:space="preserve"> Коэффициент трансформации напряжения</t>
  </si>
  <si>
    <t>CCS_PUMP_CAPACITY</t>
  </si>
  <si>
    <t>CCS_PUMP_HEAD</t>
  </si>
  <si>
    <t>CCS_DEPTH</t>
  </si>
  <si>
    <t>CCS_PROT_SUPPLY_OVERVOLTAGE_MODE</t>
  </si>
  <si>
    <t>CCS_PROT_SUPPLY_OVERVOLTAGE_REACTION</t>
  </si>
  <si>
    <t>CCS_PROT_SUPPLY_OVERVOLTAGE_ACTIV_DELAY</t>
  </si>
  <si>
    <t>CCS_PROT_SUPPLY_OVERVOLTAGE_TRIP_DELAY</t>
  </si>
  <si>
    <t>CCS_PROT_SUPPLY_OVERVOLTAGE_RESTART_DELAY</t>
  </si>
  <si>
    <t>CCS_PROT_SUPPLY_OVERVOLTAGE_RESTART_LIMIT</t>
  </si>
  <si>
    <t>CCS_PROT_SUPPLY_OVERVOLTAGE_RESTART_RESET</t>
  </si>
  <si>
    <t>CCS_PROT_SUPPLY_OVERVOLTAGE_TRIP_SETPOINT</t>
  </si>
  <si>
    <t>CCS_PROT_SUPPLY_OVERVOLTAGE_RESTART_SETPOINT</t>
  </si>
  <si>
    <t>CCS_PROT_SUPPLY_OVERVOLTAGE_PARAMETER</t>
  </si>
  <si>
    <t>CCS_PROT_SUPPLY_OVERVOLTAGE_PARAMETER_2</t>
  </si>
  <si>
    <t>CCS_PROT_SUPPLY_OVERVOLTAGE_STATE</t>
  </si>
  <si>
    <t>CCS_PROT_SUPPLY_OVERVOLTAGE_TIME</t>
  </si>
  <si>
    <t>CCS_PROT_SUPPLY_OVERVOLTAGE_RESTART_COUNT</t>
  </si>
  <si>
    <t>CCS_PROT_SUPPLY_OVERVOLTAGE_RESTART_RESET_COUNT</t>
  </si>
  <si>
    <t>CCS_PROT_SUPPLY_UNDERVOLTAGE_MODE</t>
  </si>
  <si>
    <t>CCS_PROT_SUPPLY_UNDERVOLTAGE_REACTION</t>
  </si>
  <si>
    <t>CCS_PROT_SUPPLY_UNDERVOLTAGE_ACTIV_DELAY</t>
  </si>
  <si>
    <t>CCS_PROT_SUPPLY_UNDERVOLTAGE_TRIP_DELAY</t>
  </si>
  <si>
    <t>CCS_PROT_SUPPLY_UNDERVOLTAGE_RESTART_DELAY</t>
  </si>
  <si>
    <t>CCS_PROT_SUPPLY_UNDERVOLTAGE_RESTART_LIMIT</t>
  </si>
  <si>
    <t>CCS_PROT_SUPPLY_UNDERVOLTAGE_RESTART_RESET</t>
  </si>
  <si>
    <t>CCS_PROT_SUPPLY_UNDERVOLTAGE_TRIP_SETPOINT</t>
  </si>
  <si>
    <t>CCS_PROT_SUPPLY_UNDERVOLTAGE_RESTART_SETPOINT</t>
  </si>
  <si>
    <t>CCS_PROT_SUPPLY_UNDERVOLTAGE_PARAMETER</t>
  </si>
  <si>
    <t>CCS_PROT_SUPPLY_UNDERVOLTAGE_PARAMETER_2</t>
  </si>
  <si>
    <t>CCS_PROT_SUPPLY_UNDERVOLTAGE_STATE</t>
  </si>
  <si>
    <t>CCS_PROT_SUPPLY_UNDERVOLTAGE_TIME</t>
  </si>
  <si>
    <t>CCS_PROT_SUPPLY_UNDERVOLTAGE_RESTART_COUNT</t>
  </si>
  <si>
    <t>CCS_PROT_SUPPLY_UNDERVOLTAGE_RESTART_RESET_COUNT</t>
  </si>
  <si>
    <t>CCS_PROT_SUPPLY_IMBALANCE_VOLTAGE_MODE</t>
  </si>
  <si>
    <t>CCS_PROT_SUPPLY_IMBALANCE_VOLTAGE_REACTION</t>
  </si>
  <si>
    <t>CCS_PROT_SUPPLY_IMBALANCE_VOLTAGE_ACTIV_DELAY</t>
  </si>
  <si>
    <t>CCS_PROT_SUPPLY_IMBALANCE_VOLTAGE_TRIP_DELAY</t>
  </si>
  <si>
    <t>CCS_PROT_SUPPLY_IMBALANCE_VOLTAGE_RESTART_DELAY</t>
  </si>
  <si>
    <t>CCS_PROT_SUPPLY_IMBALANCE_VOLTAGE_RESTART_LIMIT</t>
  </si>
  <si>
    <t>CCS_PROT_SUPPLY_IMBALANCE_VOLTAGE_RESTART_RESET</t>
  </si>
  <si>
    <t>CCS_PROT_SUPPLY_IMBALANCE_VOLTAGE_TRIP_SETPOINT</t>
  </si>
  <si>
    <t>CCS_PROT_SUPPLY_IMBALANCE_VOLTAGE_RESTART_SETPOINT</t>
  </si>
  <si>
    <t>CCS_PROT_SUPPLY_IMBALANCE_VOLTAGE_PARAMETER</t>
  </si>
  <si>
    <t>CCS_PROT_SUPPLY_IMBALANCE_VOLTAGE_PARAMETER_2</t>
  </si>
  <si>
    <t>CCS_PROT_SUPPLY_IMBALANCE_VOLTAGE_STATE</t>
  </si>
  <si>
    <t>CCS_PROT_SUPPLY_IMBALANCE_VOLTAGE_TIME</t>
  </si>
  <si>
    <t>CCS_PROT_SUPPLY_IMBALANCE_VOLTAGE_RESTART_COUNT</t>
  </si>
  <si>
    <t>CCS_PROT_SUPPLY_IMBALANCE_VOLTAGE_RESTART_RESET_COUNT</t>
  </si>
  <si>
    <t>CCS_PROT_SUPPLY_IMBALANCE_CURRENT_MODE</t>
  </si>
  <si>
    <t>CCS_PROT_SUPPLY_IMBALANCE_CURRENT_REACTION</t>
  </si>
  <si>
    <t>CCS_PROT_SUPPLY_IMBALANCE_CURRENT_ACTIV_DELAY</t>
  </si>
  <si>
    <t>CCS_PROT_SUPPLY_IMBALANCE_CURRENT_TRIP_DELAY</t>
  </si>
  <si>
    <t>CCS_PROT_SUPPLY_IMBALANCE_CURRENT_RESTART_DELAY</t>
  </si>
  <si>
    <t>CCS_PROT_SUPPLY_IMBALANCE_CURRENT_RESTART_LIMIT</t>
  </si>
  <si>
    <t>CCS_PROT_SUPPLY_IMBALANCE_CURRENT_RESTART_RESET</t>
  </si>
  <si>
    <t>CCS_PROT_SUPPLY_IMBALANCE_CURRENT_TRIP_SETPOINT</t>
  </si>
  <si>
    <t>CCS_PROT_SUPPLY_IMBALANCE_CURRENT_RESTART_SETPOINT</t>
  </si>
  <si>
    <t>CCS_PROT_SUPPLY_IMBALANCE_CURRENT_PARAMETER</t>
  </si>
  <si>
    <t>CCS_PROT_SUPPLY_IMBALANCE_CURRENT_PARAMETER_2</t>
  </si>
  <si>
    <t>CCS_PROT_SUPPLY_IMBALANCE_CURRENT_STATE</t>
  </si>
  <si>
    <t>CCS_PROT_SUPPLY_IMBALANCE_CURRENT_TIME</t>
  </si>
  <si>
    <t>CCS_PROT_SUPPLY_IMBALANCE_CURRENT_RESTART_COUNT</t>
  </si>
  <si>
    <t>CCS_PROT_SUPPLY_IMBALANCE_CURRENT_RESTART_RESET_COUNT</t>
  </si>
  <si>
    <t>CCS_PROT_SUPPLY_PHASE_ROTATION_MODE</t>
  </si>
  <si>
    <t>CCS_PROT_SUPPLY_PHASE_ROTATION_REACTION</t>
  </si>
  <si>
    <t>CCS_PROT_SUPPLY_PHASE_ROTATION_ACTIV_DELAY</t>
  </si>
  <si>
    <t>CCS_PROT_SUPPLY_PHASE_ROTATION_TRIP_DELAY</t>
  </si>
  <si>
    <t>CCS_PROT_SUPPLY_PHASE_ROTATION_RESTART_DELAY</t>
  </si>
  <si>
    <t>CCS_PROT_SUPPLY_PHASE_ROTATION_RESTART_LIMIT</t>
  </si>
  <si>
    <t>CCS_PROT_SUPPLY_PHASE_ROTATION_RESTART_RESET</t>
  </si>
  <si>
    <t>CCS_PROT_SUPPLY_PHASE_ROTATION_TRIP_SETPOINT</t>
  </si>
  <si>
    <t>CCS_PROT_SUPPLY_PHASE_ROTATION_RESTART_SETPOINT</t>
  </si>
  <si>
    <t>CCS_PROT_SUPPLY_PHASE_ROTATION_PARAMETER</t>
  </si>
  <si>
    <t>CCS_PROT_SUPPLY_PHASE_ROTATION_PARAMETER_2</t>
  </si>
  <si>
    <t>CCS_PROT_SUPPLY_PHASE_ROTATION_STATE</t>
  </si>
  <si>
    <t>CCS_PROT_SUPPLY_PHASE_ROTATION_TIME</t>
  </si>
  <si>
    <t>CCS_PROT_SUPPLY_PHASE_ROTATION_RESTART_COUNT</t>
  </si>
  <si>
    <t>CCS_PROT_SUPPLY_PHASE_ROTATION_RESTART_RESET_COUNT</t>
  </si>
  <si>
    <t>CCS_PROT_MOTOR_OVERLOAD_MODE</t>
  </si>
  <si>
    <t>CCS_PROT_MOTOR_OVERLOAD_REACTION</t>
  </si>
  <si>
    <t>CCS_PROT_MOTOR_OVERLOAD_ACTIV_DELAY</t>
  </si>
  <si>
    <t>CCS_PROT_MOTOR_OVERLOAD_TRIP_DELAY</t>
  </si>
  <si>
    <t>CCS_PROT_MOTOR_OVERLOAD_RESTART_DELAY</t>
  </si>
  <si>
    <t>CCS_PROT_MOTOR_OVERLOAD_RESTART_LIMIT</t>
  </si>
  <si>
    <t>CCS_PROT_MOTOR_OVERLOAD_RESTART_RESET</t>
  </si>
  <si>
    <t>CCS_PROT_MOTOR_OVERLOAD_TRIP_SETPOINT</t>
  </si>
  <si>
    <t>CCS_PROT_MOTOR_OVERLOAD_RESTART_SETPOINT</t>
  </si>
  <si>
    <t>CCS_PROT_MOTOR_OVERLOAD_PARAMETER</t>
  </si>
  <si>
    <t>CCS_PROT_MOTOR_OVERLOAD_PARAMETER_2</t>
  </si>
  <si>
    <t>CCS_PROT_MOTOR_OVERLOAD_STATE</t>
  </si>
  <si>
    <t>CCS_PROT_MOTOR_OVERLOAD_TIME</t>
  </si>
  <si>
    <t>CCS_PROT_MOTOR_OVERLOAD_RESTART_COUNT</t>
  </si>
  <si>
    <t>CCS_PROT_MOTOR_OVERLOAD_RESTART_RESET_COUNT</t>
  </si>
  <si>
    <t>CCS_PROT_MOTOR_UNDERLOAD_MODE</t>
  </si>
  <si>
    <t>CCS_PROT_MOTOR_UNDERLOAD_REACTION</t>
  </si>
  <si>
    <t>CCS_PROT_MOTOR_UNDERLOAD_ACTIV_DELAY</t>
  </si>
  <si>
    <t>CCS_PROT_MOTOR_UNDERLOAD_TRIP_DELAY</t>
  </si>
  <si>
    <t>CCS_PROT_MOTOR_UNDERLOAD_RESTART_DELAY</t>
  </si>
  <si>
    <t>CCS_PROT_MOTOR_UNDERLOAD_RESTART_LIMIT</t>
  </si>
  <si>
    <t>CCS_PROT_MOTOR_UNDERLOAD_RESTART_RESET</t>
  </si>
  <si>
    <t>CCS_PROT_MOTOR_UNDERLOAD_TRIP_SETPOINT</t>
  </si>
  <si>
    <t>CCS_PROT_MOTOR_UNDERLOAD_RESTART_SETPOINT</t>
  </si>
  <si>
    <t>CCS_PROT_MOTOR_UNDERLOAD_PARAMETER</t>
  </si>
  <si>
    <t>CCS_PROT_MOTOR_UNDERLOAD_PARAMETER_2</t>
  </si>
  <si>
    <t>CCS_PROT_MOTOR_UNDERLOAD_STATE</t>
  </si>
  <si>
    <t>CCS_PROT_MOTOR_UNDERLOAD_TIME</t>
  </si>
  <si>
    <t>CCS_PROT_MOTOR_UNDERLOAD_RESTART_COUNT</t>
  </si>
  <si>
    <t>CCS_PROT_MOTOR_UNDERLOAD_RESTART_RESET_COUNT</t>
  </si>
  <si>
    <t>CCS_PROT_MOTOR_IMBALANCE_CURRENT_MODE</t>
  </si>
  <si>
    <t>CCS_PROT_MOTOR_IMBALANCE_CURRENT_REACTION</t>
  </si>
  <si>
    <t>CCS_PROT_MOTOR_IMBALANCE_CURRENT_ACTIV_DELAY</t>
  </si>
  <si>
    <t>CCS_PROT_MOTOR_IMBALANCE_CURRENT_TRIP_DELAY</t>
  </si>
  <si>
    <t>CCS_PROT_MOTOR_IMBALANCE_CURRENT_RESTART_DELAY</t>
  </si>
  <si>
    <t>CCS_PROT_MOTOR_IMBALANCE_CURRENT_RESTART_LIMIT</t>
  </si>
  <si>
    <t>CCS_PROT_MOTOR_IMBALANCE_CURRENT_RESTART_RESET</t>
  </si>
  <si>
    <t>CCS_PROT_MOTOR_IMBALANCE_CURRENT_TRIP_SETPOINT</t>
  </si>
  <si>
    <t>CCS_PROT_MOTOR_IMBALANCE_CURRENT_RESTART_SETPOINT</t>
  </si>
  <si>
    <t>CCS_PROT_MOTOR_IMBALANCE_CURRENT_PARAMETER</t>
  </si>
  <si>
    <t>CCS_PROT_MOTOR_IMBALANCE_CURRENT_PARAMETER_2</t>
  </si>
  <si>
    <t>CCS_PROT_MOTOR_IMBALANCE_CURRENT_STATE</t>
  </si>
  <si>
    <t>CCS_PROT_MOTOR_IMBALANCE_CURRENT_TIME</t>
  </si>
  <si>
    <t>CCS_PROT_MOTOR_IMBALANCE_CURRENT_RESTART_COUNT</t>
  </si>
  <si>
    <t>CCS_PROT_MOTOR_IMBALANCE_CURRENT_RESTART_RESET_COUNT</t>
  </si>
  <si>
    <t>CCS_PROT_MOTOR_ASYNC_MODE</t>
  </si>
  <si>
    <t>CCS_PROT_MOTOR_ASYNC_REACTION</t>
  </si>
  <si>
    <t>CCS_PROT_MOTOR_ASYNC_ACTIV_DELAY</t>
  </si>
  <si>
    <t>CCS_PROT_MOTOR_ASYNC_TRIP_DELAY</t>
  </si>
  <si>
    <t>CCS_PROT_MOTOR_ASYNC_RESTART_DELAY</t>
  </si>
  <si>
    <t>CCS_PROT_MOTOR_ASYNC_RESTART_LIMIT</t>
  </si>
  <si>
    <t>CCS_PROT_MOTOR_ASYNC_RESTART_RESET</t>
  </si>
  <si>
    <t>CCS_PROT_MOTOR_ASYNC_TRIP_SETPOINT</t>
  </si>
  <si>
    <t>CCS_PROT_MOTOR_ASYNC_RESTART_SETPOINT</t>
  </si>
  <si>
    <t>CCS_PROT_MOTOR_ASYNC_PARAMETER</t>
  </si>
  <si>
    <t>CCS_PROT_MOTOR_ASYNC_PARAMETER_2</t>
  </si>
  <si>
    <t>CCS_PROT_MOTOR_ASYNC_STATE</t>
  </si>
  <si>
    <t>CCS_PROT_MOTOR_ASYNC_TIME</t>
  </si>
  <si>
    <t>CCS_PROT_MOTOR_ASYNC_RESTART_COUNT</t>
  </si>
  <si>
    <t>CCS_PROT_MOTOR_ASYNC_RESTART_RESET_COUNT</t>
  </si>
  <si>
    <t>CCS_PROT_MOTOR_OUT_OF_SYNC_MODE</t>
  </si>
  <si>
    <t>CCS_PROT_MOTOR_OUT_OF_SYNC_REACTION</t>
  </si>
  <si>
    <t>CCS_PROT_MOTOR_OUT_OF_SYNC_ACTIV_DELAY</t>
  </si>
  <si>
    <t>CCS_PROT_MOTOR_OUT_OF_SYNC_TRIP_DELAY</t>
  </si>
  <si>
    <t>CCS_PROT_MOTOR_OUT_OF_SYNC_RESTART_DELAY</t>
  </si>
  <si>
    <t>CCS_PROT_MOTOR_OUT_OF_SYNC_RESTART_LIMIT</t>
  </si>
  <si>
    <t>CCS_PROT_MOTOR_OUT_OF_SYNC_RESTART_RESET</t>
  </si>
  <si>
    <t>CCS_PROT_MOTOR_OUT_OF_SYNC_TRIP_SETPOINT</t>
  </si>
  <si>
    <t>CCS_PROT_MOTOR_OUT_OF_SYNC_RESTART_SETPOINT</t>
  </si>
  <si>
    <t>CCS_PROT_MOTOR_OUT_OF_SYNC_PARAMETER</t>
  </si>
  <si>
    <t>CCS_PROT_MOTOR_OUT_OF_SYNC_PARAMETER_2</t>
  </si>
  <si>
    <t>CCS_PROT_MOTOR_OUT_OF_SYNC_STATE</t>
  </si>
  <si>
    <t>CCS_PROT_MOTOR_OUT_OF_SYNC_TIME</t>
  </si>
  <si>
    <t>CCS_PROT_MOTOR_OUT_OF_SYNC_RESTART_COUNT</t>
  </si>
  <si>
    <t>CCS_PROT_MOTOR_OUT_OF_SYNC_RESTART_RESET_COUNT</t>
  </si>
  <si>
    <t>CCS_PROT_DHS_PRESSURE_INTAKE_MODE</t>
  </si>
  <si>
    <t>CCS_PROT_DHS_PRESSURE_INTAKE_REACTION</t>
  </si>
  <si>
    <t>CCS_PROT_DHS_PRESSURE_INTAKE_ACTIV_DELAY</t>
  </si>
  <si>
    <t>CCS_PROT_DHS_PRESSURE_INTAKE_TRIP_DELAY</t>
  </si>
  <si>
    <t>CCS_PROT_DHS_PRESSURE_INTAKE_RESTART_DELAY</t>
  </si>
  <si>
    <t>CCS_PROT_DHS_PRESSURE_INTAKE_RESTART_LIMIT</t>
  </si>
  <si>
    <t>CCS_PROT_DHS_PRESSURE_INTAKE_RESTART_RESET</t>
  </si>
  <si>
    <t>CCS_PROT_DHS_PRESSURE_INTAKE_TRIP_SETPOINT</t>
  </si>
  <si>
    <t>CCS_PROT_DHS_PRESSURE_INTAKE_RESTART_SETPOINT</t>
  </si>
  <si>
    <t>CCS_PROT_DHS_PRESSURE_INTAKE_PARAMETER</t>
  </si>
  <si>
    <t>CCS_PROT_DHS_PRESSURE_INTAKE_PARAMETER_2</t>
  </si>
  <si>
    <t>CCS_PROT_DHS_PRESSURE_INTAKE_STATE</t>
  </si>
  <si>
    <t>CCS_PROT_DHS_PRESSURE_INTAKE_TIME</t>
  </si>
  <si>
    <t>CCS_PROT_DHS_PRESSURE_INTAKE_RESTART_COUNT</t>
  </si>
  <si>
    <t>CCS_PROT_DHS_PRESSURE_INTAKE_RESTART_RESET_COUNT</t>
  </si>
  <si>
    <t>CCS_PROT_DHS_TEMPERATURE_MOTOR_MODE</t>
  </si>
  <si>
    <t>CCS_PROT_DHS_TEMPERATURE_MOTOR_REACTION</t>
  </si>
  <si>
    <t>CCS_PROT_DHS_TEMPERATURE_MOTOR_ACTIV_DELAY</t>
  </si>
  <si>
    <t>CCS_PROT_DHS_TEMPERATURE_MOTOR_TRIP_DELAY</t>
  </si>
  <si>
    <t>CCS_PROT_DHS_TEMPERATURE_MOTOR_RESTART_DELAY</t>
  </si>
  <si>
    <t>CCS_PROT_DHS_TEMPERATURE_MOTOR_RESTART_LIMIT</t>
  </si>
  <si>
    <t>CCS_PROT_DHS_TEMPERATURE_MOTOR_RESTART_RESET</t>
  </si>
  <si>
    <t>CCS_PROT_DHS_TEMPERATURE_MOTOR_TRIP_SETPOINT</t>
  </si>
  <si>
    <t>CCS_PROT_DHS_TEMPERATURE_MOTOR_RESTART_SETPOINT</t>
  </si>
  <si>
    <t>CCS_PROT_DHS_TEMPERATURE_MOTOR_PARAMETER</t>
  </si>
  <si>
    <t>CCS_PROT_DHS_TEMPERATURE_MOTOR_PARAMETER_2</t>
  </si>
  <si>
    <t>CCS_PROT_DHS_TEMPERATURE_MOTOR_STATE</t>
  </si>
  <si>
    <t>CCS_PROT_DHS_TEMPERATURE_MOTOR_TIME</t>
  </si>
  <si>
    <t>CCS_PROT_DHS_TEMPERATURE_MOTOR_RESTART_COUNT</t>
  </si>
  <si>
    <t>CCS_PROT_DHS_TEMPERATURE_MOTOR_RESTART_RESET_COUNT</t>
  </si>
  <si>
    <t>CCS_PROT_DHS_RESISTANCE_MODE</t>
  </si>
  <si>
    <t>CCS_PROT_DHS_RESISTANCE_REACTION</t>
  </si>
  <si>
    <t>CCS_PROT_DHS_RESISTANCE_ACTIV_DELAY</t>
  </si>
  <si>
    <t>CCS_PROT_DHS_RESISTANCE_TRIP_DELAY</t>
  </si>
  <si>
    <t>CCS_PROT_DHS_RESISTANCE_RESTART_DELAY</t>
  </si>
  <si>
    <t>CCS_PROT_DHS_RESISTANCE_RESTART_LIMIT</t>
  </si>
  <si>
    <t>CCS_PROT_DHS_RESISTANCE_RESTART_RESET</t>
  </si>
  <si>
    <t>CCS_PROT_DHS_RESISTANCE_TRIP_SETPOINT</t>
  </si>
  <si>
    <t>CCS_PROT_DHS_RESISTANCE_RESTART_SETPOINT</t>
  </si>
  <si>
    <t>CCS_PROT_DHS_RESISTANCE_PARAMETER</t>
  </si>
  <si>
    <t>CCS_PROT_DHS_RESISTANCE_PARAMETER_2</t>
  </si>
  <si>
    <t>CCS_PROT_DHS_RESISTANCE_STATE</t>
  </si>
  <si>
    <t>CCS_PROT_DHS_RESISTANCE_TIME</t>
  </si>
  <si>
    <t>CCS_PROT_DHS_RESISTANCE_RESTART_COUNT</t>
  </si>
  <si>
    <t>CCS_PROT_DHS_RESISTANCE_RESTART_RESET_COUNT</t>
  </si>
  <si>
    <t>CCS_PROT_DHS_VIBRATION_MODE</t>
  </si>
  <si>
    <t>CCS_PROT_DHS_VIBRATION_REACTION</t>
  </si>
  <si>
    <t>CCS_PROT_DHS_VIBRATION_ACTIV_DELAY</t>
  </si>
  <si>
    <t>CCS_PROT_DHS_VIBRATION_TRIP_DELAY</t>
  </si>
  <si>
    <t>CCS_PROT_DHS_VIBRATION_RESTART_DELAY</t>
  </si>
  <si>
    <t>CCS_PROT_DHS_VIBRATION_RESTART_LIMIT</t>
  </si>
  <si>
    <t>CCS_PROT_DHS_VIBRATION_RESTART_RESET</t>
  </si>
  <si>
    <t>CCS_PROT_DHS_VIBRATION_TRIP_SETPOINT</t>
  </si>
  <si>
    <t>CCS_PROT_DHS_VIBRATION_RESTART_SETPOINT</t>
  </si>
  <si>
    <t>CCS_PROT_DHS_VIBRATION_PARAMETER</t>
  </si>
  <si>
    <t>CCS_PROT_DHS_VIBRATION_PARAMETER_2</t>
  </si>
  <si>
    <t>CCS_PROT_DHS_VIBRATION_STATE</t>
  </si>
  <si>
    <t>CCS_PROT_DHS_VIBRATION_TIME</t>
  </si>
  <si>
    <t>CCS_PROT_DHS_VIBRATION_RESTART_COUNT</t>
  </si>
  <si>
    <t>CCS_PROT_DHS_VIBRATION_RESTART_RESET_COUNT</t>
  </si>
  <si>
    <t>CCS_PROT_AI_1_MODE</t>
  </si>
  <si>
    <t>CCS_PROT_AI_1_REACTION</t>
  </si>
  <si>
    <t>CCS_PROT_AI_1_ACTIV_DELAY</t>
  </si>
  <si>
    <t>CCS_PROT_AI_1_TRIP_DELAY</t>
  </si>
  <si>
    <t>CCS_PROT_AI_1_RESTART_DELAY</t>
  </si>
  <si>
    <t>CCS_PROT_AI_1_RESTART_LIMIT</t>
  </si>
  <si>
    <t>CCS_PROT_AI_1_RESTART_RESET</t>
  </si>
  <si>
    <t>CCS_PROT_AI_1_TRIP_SETPOINT</t>
  </si>
  <si>
    <t>CCS_PROT_AI_1_RESTART_SETPOINT</t>
  </si>
  <si>
    <t>CCS_PROT_AI_1_PARAMETER</t>
  </si>
  <si>
    <t>CCS_PROT_AI_1_PARAMETER_2</t>
  </si>
  <si>
    <t>CCS_PROT_AI_1_STATE</t>
  </si>
  <si>
    <t>CCS_PROT_AI_1_TIME</t>
  </si>
  <si>
    <t>CCS_PROT_AI_1_RESTART_COUNT</t>
  </si>
  <si>
    <t>CCS_PROT_AI_1_RESTART_RESET_COUNT</t>
  </si>
  <si>
    <t>CCS_PROT_AI_2_MODE</t>
  </si>
  <si>
    <t>CCS_PROT_AI_2_REACTION</t>
  </si>
  <si>
    <t>CCS_PROT_AI_2_ACTIV_DELAY</t>
  </si>
  <si>
    <t>CCS_PROT_AI_2_TRIP_DELAY</t>
  </si>
  <si>
    <t>CCS_PROT_AI_2_RESTART_DELAY</t>
  </si>
  <si>
    <t>CCS_PROT_AI_2_RESTART_LIMIT</t>
  </si>
  <si>
    <t>CCS_PROT_AI_2_RESTART_RESET</t>
  </si>
  <si>
    <t>CCS_PROT_AI_2_TRIP_SETPOINT</t>
  </si>
  <si>
    <t>CCS_PROT_AI_2_RESTART_SETPOINT</t>
  </si>
  <si>
    <t>CCS_PROT_AI_2_PARAMETER</t>
  </si>
  <si>
    <t>CCS_PROT_AI_2_PARAMETER_2</t>
  </si>
  <si>
    <t>CCS_PROT_AI_2_STATE</t>
  </si>
  <si>
    <t>CCS_PROT_AI_2_TIME</t>
  </si>
  <si>
    <t>CCS_PROT_AI_2_RESTART_COUNT</t>
  </si>
  <si>
    <t>CCS_PROT_AI_2_RESTART_RESET_COUNT</t>
  </si>
  <si>
    <t>CCS_PROT_AI_3_MODE</t>
  </si>
  <si>
    <t>CCS_PROT_AI_3_REACTION</t>
  </si>
  <si>
    <t>CCS_PROT_AI_3_ACTIV_DELAY</t>
  </si>
  <si>
    <t>CCS_PROT_AI_3_TRIP_DELAY</t>
  </si>
  <si>
    <t>CCS_PROT_AI_3_RESTART_DELAY</t>
  </si>
  <si>
    <t>CCS_PROT_AI_3_RESTART_LIMIT</t>
  </si>
  <si>
    <t>CCS_PROT_AI_3_RESTART_RESET</t>
  </si>
  <si>
    <t>CCS_PROT_AI_3_TRIP_SETPOINT</t>
  </si>
  <si>
    <t>CCS_PROT_AI_3_RESTART_SETPOINT</t>
  </si>
  <si>
    <t>CCS_PROT_AI_3_PARAMETER</t>
  </si>
  <si>
    <t>CCS_PROT_AI_3_PARAMETER_2</t>
  </si>
  <si>
    <t>CCS_PROT_AI_3_STATE</t>
  </si>
  <si>
    <t>CCS_PROT_AI_3_TIME</t>
  </si>
  <si>
    <t>CCS_PROT_AI_3_RESTART_COUNT</t>
  </si>
  <si>
    <t>CCS_PROT_AI_3_RESTART_RESET_COUNT</t>
  </si>
  <si>
    <t>CCS_PROT_AI_4_MODE</t>
  </si>
  <si>
    <t>CCS_PROT_AI_4_REACTION</t>
  </si>
  <si>
    <t>CCS_PROT_AI_4_ACTIV_DELAY</t>
  </si>
  <si>
    <t>CCS_PROT_AI_4_TRIP_DELAY</t>
  </si>
  <si>
    <t>CCS_PROT_AI_4_RESTART_DELAY</t>
  </si>
  <si>
    <t>CCS_PROT_AI_4_RESTART_LIMIT</t>
  </si>
  <si>
    <t>CCS_PROT_AI_4_RESTART_RESET</t>
  </si>
  <si>
    <t>CCS_PROT_AI_4_TRIP_SETPOINT</t>
  </si>
  <si>
    <t>CCS_PROT_AI_4_RESTART_SETPOINT</t>
  </si>
  <si>
    <t>CCS_PROT_AI_4_PARAMETER</t>
  </si>
  <si>
    <t>CCS_PROT_AI_4_PARAMETER_2</t>
  </si>
  <si>
    <t>CCS_PROT_AI_4_STATE</t>
  </si>
  <si>
    <t>CCS_PROT_AI_4_TIME</t>
  </si>
  <si>
    <t>CCS_PROT_AI_4_RESTART_COUNT</t>
  </si>
  <si>
    <t>CCS_PROT_AI_4_RESTART_RESET_COUNT</t>
  </si>
  <si>
    <t>CCS_PROT_DI_1_MODE</t>
  </si>
  <si>
    <t>CCS_PROT_DI_1_REACTION</t>
  </si>
  <si>
    <t>CCS_PROT_DI_1_ACTIV_DELAY</t>
  </si>
  <si>
    <t>CCS_PROT_DI_1_TRIP_DELAY</t>
  </si>
  <si>
    <t>CCS_PROT_DI_1_RESTART_DELAY</t>
  </si>
  <si>
    <t>CCS_PROT_DI_1_RESTART_LIMIT</t>
  </si>
  <si>
    <t>CCS_PROT_DI_1_RESTART_RESET</t>
  </si>
  <si>
    <t>CCS_PROT_DI_1_TRIP_SETPOINT</t>
  </si>
  <si>
    <t>CCS_PROT_DI_1_RESTART_SETPOINT</t>
  </si>
  <si>
    <t>CCS_PROT_DI_1_PARAMETER</t>
  </si>
  <si>
    <t>CCS_PROT_DI_1_PARAMETER_2</t>
  </si>
  <si>
    <t>CCS_PROT_DI_1_STATE</t>
  </si>
  <si>
    <t>CCS_PROT_DI_1_TIME</t>
  </si>
  <si>
    <t>CCS_PROT_DI_1_RESTART_COUNT</t>
  </si>
  <si>
    <t>CCS_PROT_DI_1_RESTART_RESET_COUNT</t>
  </si>
  <si>
    <t>CCS_PROT_DI_2_MODE</t>
  </si>
  <si>
    <t>CCS_PROT_DI_2_REACTION</t>
  </si>
  <si>
    <t>CCS_PROT_DI_2_ACTIV_DELAY</t>
  </si>
  <si>
    <t>CCS_PROT_DI_2_TRIP_DELAY</t>
  </si>
  <si>
    <t>CCS_PROT_DI_2_RESTART_DELAY</t>
  </si>
  <si>
    <t>CCS_PROT_DI_2_RESTART_LIMIT</t>
  </si>
  <si>
    <t>CCS_PROT_DI_2_RESTART_RESET</t>
  </si>
  <si>
    <t>CCS_PROT_DI_2_TRIP_SETPOINT</t>
  </si>
  <si>
    <t>CCS_PROT_DI_2_RESTART_SETPOINT</t>
  </si>
  <si>
    <t>CCS_PROT_DI_2_PARAMETER</t>
  </si>
  <si>
    <t>CCS_PROT_DI_2_PARAMETER_2</t>
  </si>
  <si>
    <t>CCS_PROT_DI_2_STATE</t>
  </si>
  <si>
    <t>CCS_PROT_DI_2_TIME</t>
  </si>
  <si>
    <t>CCS_PROT_DI_2_RESTART_COUNT</t>
  </si>
  <si>
    <t>CCS_PROT_DI_2_RESTART_RESET_COUNT</t>
  </si>
  <si>
    <t>CCS_PROT_DI_3_MODE</t>
  </si>
  <si>
    <t>CCS_PROT_DI_3_REACTION</t>
  </si>
  <si>
    <t>CCS_PROT_DI_3_ACTIV_DELAY</t>
  </si>
  <si>
    <t>CCS_PROT_DI_3_TRIP_DELAY</t>
  </si>
  <si>
    <t>CCS_PROT_DI_3_RESTART_DELAY</t>
  </si>
  <si>
    <t>CCS_PROT_DI_3_RESTART_LIMIT</t>
  </si>
  <si>
    <t>CCS_PROT_DI_3_RESTART_RESET</t>
  </si>
  <si>
    <t>CCS_PROT_DI_3_TRIP_SETPOINT</t>
  </si>
  <si>
    <t>CCS_PROT_DI_3_RESTART_SETPOINT</t>
  </si>
  <si>
    <t>CCS_PROT_DI_3_PARAMETER</t>
  </si>
  <si>
    <t>CCS_PROT_DI_3_PARAMETER_2</t>
  </si>
  <si>
    <t>CCS_PROT_DI_3_STATE</t>
  </si>
  <si>
    <t>CCS_PROT_DI_3_TIME</t>
  </si>
  <si>
    <t>CCS_PROT_DI_3_RESTART_COUNT</t>
  </si>
  <si>
    <t>CCS_PROT_DI_3_RESTART_RESET_COUNT</t>
  </si>
  <si>
    <t>CCS_PROT_DI_4_MODE</t>
  </si>
  <si>
    <t>CCS_PROT_DI_4_REACTION</t>
  </si>
  <si>
    <t>CCS_PROT_DI_4_ACTIV_DELAY</t>
  </si>
  <si>
    <t>CCS_PROT_DI_4_TRIP_DELAY</t>
  </si>
  <si>
    <t>CCS_PROT_DI_4_RESTART_DELAY</t>
  </si>
  <si>
    <t>CCS_PROT_DI_4_RESTART_LIMIT</t>
  </si>
  <si>
    <t>CCS_PROT_DI_4_RESTART_RESET</t>
  </si>
  <si>
    <t>CCS_PROT_DI_4_TRIP_SETPOINT</t>
  </si>
  <si>
    <t>CCS_PROT_DI_4_RESTART_SETPOINT</t>
  </si>
  <si>
    <t>CCS_PROT_DI_4_PARAMETER</t>
  </si>
  <si>
    <t>CCS_PROT_DI_4_PARAMETER_2</t>
  </si>
  <si>
    <t>CCS_PROT_DI_4_STATE</t>
  </si>
  <si>
    <t>CCS_PROT_DI_4_TIME</t>
  </si>
  <si>
    <t>CCS_PROT_DI_4_RESTART_COUNT</t>
  </si>
  <si>
    <t>CCS_PROT_DI_4_RESTART_RESET_COUNT</t>
  </si>
  <si>
    <t>CCS_PROT_OTHER_LIMIT_RESTART_MODE</t>
  </si>
  <si>
    <t>CCS_PROT_OTHER_LIMIT_RESTART_REACTION</t>
  </si>
  <si>
    <t>CCS_PROT_OTHER_LIMIT_RESTART_ACTIV_DELAY</t>
  </si>
  <si>
    <t>CCS_PROT_OTHER_LIMIT_RESTART_TRIP_DELAY</t>
  </si>
  <si>
    <t>CCS_PROT_OTHER_LIMIT_RESTART_RESTART_DELAY</t>
  </si>
  <si>
    <t>CCS_PROT_OTHER_LIMIT_RESTART_RESTART_LIMIT</t>
  </si>
  <si>
    <t>CCS_PROT_OTHER_LIMIT_RESTART_RESTART_RESET</t>
  </si>
  <si>
    <t>CCS_PROT_OTHER_LIMIT_RESTART_TRIP_SETPOINT</t>
  </si>
  <si>
    <t>CCS_PROT_OTHER_LIMIT_RESTART_RESTART_SETPOINT</t>
  </si>
  <si>
    <t>CCS_PROT_OTHER_LIMIT_RESTART_PARAMETER</t>
  </si>
  <si>
    <t>CCS_PROT_OTHER_LIMIT_RESTART_PARAMETER_2</t>
  </si>
  <si>
    <t>CCS_PROT_OTHER_LIMIT_RESTART_STATE</t>
  </si>
  <si>
    <t>CCS_PROT_OTHER_LIMIT_RESTART_TIME</t>
  </si>
  <si>
    <t>CCS_PROT_OTHER_LIMIT_RESTART_RESTART_COUNT</t>
  </si>
  <si>
    <t>CCS_PROT_OTHER_LOCK_DOOR_MODE</t>
  </si>
  <si>
    <t>CCS_PROT_OTHER_LOCK_DOOR_REACTION</t>
  </si>
  <si>
    <t>CCS_PROT_OTHER_LOCK_DOOR_ACTIV_DELAY</t>
  </si>
  <si>
    <t>CCS_PROT_OTHER_LOCK_DOOR_TRIP_DELAY</t>
  </si>
  <si>
    <t>CCS_PROT_OTHER_LOCK_DOOR_RESTART_DELAY</t>
  </si>
  <si>
    <t>CCS_PROT_OTHER_LOCK_DOOR_RESTART_LIMIT</t>
  </si>
  <si>
    <t>CCS_PROT_OTHER_LOCK_DOOR_RESTART_RESET</t>
  </si>
  <si>
    <t>CCS_PROT_OTHER_LOCK_DOOR_TRIP_SETPOINT</t>
  </si>
  <si>
    <t>CCS_PROT_OTHER_LOCK_DOOR_RESTART_SETPOINT</t>
  </si>
  <si>
    <t>CCS_PROT_OTHER_LOCK_DOOR_PARAMETER</t>
  </si>
  <si>
    <t>CCS_PROT_OTHER_LOCK_DOOR_PARAMETER_2</t>
  </si>
  <si>
    <t>CCS_PROT_OTHER_LOCK_DOOR_STATE</t>
  </si>
  <si>
    <t>CCS_PROT_OTHER_LOCK_DOOR_TIME</t>
  </si>
  <si>
    <t>CCS_PROT_OTHER_LOCK_DOOR_RESTART_COUNT</t>
  </si>
  <si>
    <t>CCS_PROT_OTHER_LOCK_DOOR_RESTART_RESET_COUNT</t>
  </si>
  <si>
    <t>CCS_PROT_OTHER_VSD_MODE</t>
  </si>
  <si>
    <t>CCS_PROT_OTHER_VSD_REACTION</t>
  </si>
  <si>
    <t>CCS_PROT_OTHER_VSD_ACTIV_DELAY</t>
  </si>
  <si>
    <t>CCS_PROT_OTHER_VSD_TRIP_DELAY</t>
  </si>
  <si>
    <t>CCS_PROT_OTHER_VSD_RESTART_DELAY</t>
  </si>
  <si>
    <t>CCS_PROT_OTHER_VSD_RESTART_LIMIT</t>
  </si>
  <si>
    <t>CCS_PROT_OTHER_VSD_RESTART_RESET</t>
  </si>
  <si>
    <t>CCS_PROT_OTHER_VSD_TRIP_SETPOINT</t>
  </si>
  <si>
    <t>CCS_PROT_OTHER_VSD_RESTART_SETPOINT</t>
  </si>
  <si>
    <t>CCS_PROT_OTHER_VSD_PARAMETER</t>
  </si>
  <si>
    <t>CCS_PROT_OTHER_VSD_PARAMETER_2</t>
  </si>
  <si>
    <t>CCS_PROT_OTHER_VSD_STATE</t>
  </si>
  <si>
    <t>CCS_PROT_OTHER_VSD_TIME</t>
  </si>
  <si>
    <t>CCS_PROT_OTHER_VSD_RESTART_COUNT</t>
  </si>
  <si>
    <t>CCS_PROT_OTHER_VSD_RESTART_RESET_COUNT</t>
  </si>
  <si>
    <t>CCS_PROT_OTHER_IMB_MODE</t>
  </si>
  <si>
    <t>CCS_PROT_OTHER_IMB_REACTION</t>
  </si>
  <si>
    <t>CCS_PROT_OTHER_IMB_ACTIV_DELAY</t>
  </si>
  <si>
    <t>CCS_PROT_OTHER_IMB_TRIP_DELAY</t>
  </si>
  <si>
    <t>CCS_PROT_OTHER_IMB_RESTART_DELAY</t>
  </si>
  <si>
    <t>CCS_PROT_OTHER_IMB_RESTART_LIMIT</t>
  </si>
  <si>
    <t>CCS_PROT_OTHER_IMB_RESTART_RESET</t>
  </si>
  <si>
    <t>CCS_PROT_OTHER_IMB_TRIP_SETPOINT</t>
  </si>
  <si>
    <t>CCS_PROT_OTHER_IMB_RESTART_SETPOINT</t>
  </si>
  <si>
    <t>CCS_PROT_OTHER_IMB_PARAMETER</t>
  </si>
  <si>
    <t>CCS_PROT_OTHER_IMB_PARAMETER_2</t>
  </si>
  <si>
    <t>CCS_PROT_OTHER_IMB_STATE</t>
  </si>
  <si>
    <t>CCS_PROT_OTHER_IMB_TIME</t>
  </si>
  <si>
    <t>CCS_PROT_OTHER_IMB_RESTART_COUNT</t>
  </si>
  <si>
    <t>CCS_PROT_OTHER_IMB_RESTART_RESET_COUNT</t>
  </si>
  <si>
    <t>CCS_RGM_PERIODIC_MODE</t>
  </si>
  <si>
    <t>CCS_RGM_PERIODIC_RUN_TIMER</t>
  </si>
  <si>
    <t>CCS_RGM_PERIODIC_STOP_TIMER</t>
  </si>
  <si>
    <t>CCS_RGM_PERIODIC_RUN_TIME</t>
  </si>
  <si>
    <t>CCS_RGM_PERIODIC_RUN_TIME_END</t>
  </si>
  <si>
    <t>CCS_RGM_PERIODIC_STOP_TIME</t>
  </si>
  <si>
    <t>CCS_RGM_PERIODIC_STOP_TIME_END</t>
  </si>
  <si>
    <t>CCS_RGM_ALTERNATION_FREQ_MODE</t>
  </si>
  <si>
    <t>CCS_RGM_ALTERNATION_FREQ_FREQ_1</t>
  </si>
  <si>
    <t>CCS_RGM_ALTERNATION_FREQ_TIMER_1</t>
  </si>
  <si>
    <t>CCS_RGM_ALTERNATION_FREQ_TIMER_1_END</t>
  </si>
  <si>
    <t>CCS_RGM_ALTERNATION_FREQ_UNDERLOAD_1</t>
  </si>
  <si>
    <t>CCS_RGM_ALTERNATION_FREQ_FREQ_2</t>
  </si>
  <si>
    <t>CCS_RGM_ALTERNATION_FREQ_TIMER_2</t>
  </si>
  <si>
    <t>CCS_RGM_ALTERNATION_FREQ_TIMER_2_END</t>
  </si>
  <si>
    <t>CCS_RGM_ALTERNATION_FREQ_UNDERLOAD_2</t>
  </si>
  <si>
    <t>CCS_RGM_CHANGE_FREQ_MODE</t>
  </si>
  <si>
    <t>CCS_RGM_CHANGE_FREQ_BEGIN_FREQ</t>
  </si>
  <si>
    <t>CCS_RGM_CHANGE_FREQ_END_FREQ</t>
  </si>
  <si>
    <t>CCS_RGM_CHANGE_FREQ_TIMER_FREQ</t>
  </si>
  <si>
    <t>CCS_RGM_CHANGE_FREQ_RUN_TIMER_FREQ</t>
  </si>
  <si>
    <t>CCS_RGM_CHANGE_FREQ_END_TIMER_FREQ</t>
  </si>
  <si>
    <t>CCS_RGM_MODE_DATE_TIME</t>
  </si>
  <si>
    <t>CCS_RGM_MODE_CURRENT</t>
  </si>
  <si>
    <t>CCS_RGM_MODE_VOLTAGE</t>
  </si>
  <si>
    <t>CCS_RGM_MODE_LOAD</t>
  </si>
  <si>
    <t>CCS_RGM_MAINTENANCE_PARAM_MODE</t>
  </si>
  <si>
    <t>CCS_RGM_MAINTENANCE_PARAM</t>
  </si>
  <si>
    <t>CCS_RGM_MAINTENANCE_PARAM_DEPENDENCE</t>
  </si>
  <si>
    <t>CCS_RGM_MAINTENANCE_PARAM_SETPOINT</t>
  </si>
  <si>
    <t>CCS_RGM_MAINTENANCE_PARAM_PERIOD</t>
  </si>
  <si>
    <t>CCS_RGM_MAINTENANCE_PARAM_PROP</t>
  </si>
  <si>
    <t>CCS_RGM_MAINTENANCE_PARAM_INT</t>
  </si>
  <si>
    <t>CCS_RGM_MAINTENANCE_PARAM_MIN_FREQ</t>
  </si>
  <si>
    <t>CCS_RGM_MAINTENANCE_PARAM_MAX_FREQ</t>
  </si>
  <si>
    <t>CCS_RGM_JARRING_MODE</t>
  </si>
  <si>
    <t>CCS_RGM_JARRING_PERIOD</t>
  </si>
  <si>
    <t>CCS_RGM_JARRING_UPDFREQ</t>
  </si>
  <si>
    <t>CCS_RGM_JARRING_UPTIME</t>
  </si>
  <si>
    <t>CCS_RGM_JARRING_DOWNDFREQ</t>
  </si>
  <si>
    <t>CCS_RGM_JARRING_DOWNTIME</t>
  </si>
  <si>
    <t>CCS_RGM_HEAT_CABLE_MODE</t>
  </si>
  <si>
    <t>CCS_RGM_HEAT_CABLE_RESISTANCE_20</t>
  </si>
  <si>
    <t>CCS_RGM_HEAT_CABLE_RESISTANCE_80</t>
  </si>
  <si>
    <t>CCS_RGM_HEAT_CABLE_MODE_CURRENT</t>
  </si>
  <si>
    <t>CCS_RGM_HEAT_CABLE_MODE_DELAY_REATION</t>
  </si>
  <si>
    <t>CCS_RGM_OPTIM_VOLTAGE_MODE</t>
  </si>
  <si>
    <t>CCS_RGM_OPTIM_VOLTAGE_SCALE</t>
  </si>
  <si>
    <t>CCS_RGM_OPTIM_VOLTAGE_STEP</t>
  </si>
  <si>
    <t>CCS_RGM_OPTIM_VOLTAGE_DELAY_REACTION</t>
  </si>
  <si>
    <t>CCS_RGM_OPTIM_VOLTAGE_DELAY_RESTART</t>
  </si>
  <si>
    <t>CCS_RGM_PUMP_GAS_MODE</t>
  </si>
  <si>
    <t>CCS_RGM_PUMP_GAS_SETPOINT</t>
  </si>
  <si>
    <t>CCS_RGM_PUMP_GAS_DELAY_REACTION</t>
  </si>
  <si>
    <t>CCS_RGM_PUMP_GAS_LIMIT_RESTART</t>
  </si>
  <si>
    <t>CCS_RGM_CURRENT_LIMIT_MODE</t>
  </si>
  <si>
    <t>CCS_RGM_CURRENT_LIMIT_SETPOINT</t>
  </si>
  <si>
    <t>CCS_RGM_CURRENT_LIMIT_STEPDOWN</t>
  </si>
  <si>
    <t>CCS_RGM_CURRENT_LIMIT_DELAY_REACTION</t>
  </si>
  <si>
    <t>CCS_RGM_CURRENT_LIMIT_DELAY_RESTART</t>
  </si>
  <si>
    <t>CCS_COEF_VOLTAGE_IN_A</t>
  </si>
  <si>
    <t>CCS_COEF_VOLTAGE_IN_B</t>
  </si>
  <si>
    <t>CCS_COEF_VOLTAGE_IN_C</t>
  </si>
  <si>
    <t>CCS_COEF_OUT_CURRENT_U</t>
  </si>
  <si>
    <t>CCS_COEF_OUT_CURRENT_V</t>
  </si>
  <si>
    <t>CCS_COEF_OUT_CURRENT_W</t>
  </si>
  <si>
    <t>CCS_COEF_RESISTANCE_ISOLATION</t>
  </si>
  <si>
    <t>CCS_NUMBER_CDNG</t>
  </si>
  <si>
    <t>CCS_NUMBER_BUSH</t>
  </si>
  <si>
    <t>CCS_NUMBER_WELL</t>
  </si>
  <si>
    <t>CCS_COUNT_START</t>
  </si>
  <si>
    <t>CCS_PROT_OVERLOAD_COUNT_STOP</t>
  </si>
  <si>
    <t>CCS_PROT_UNDERLOAD_COUNT_STOP</t>
  </si>
  <si>
    <t>CCS_PROT_OTHER_COUNT_STOP</t>
  </si>
  <si>
    <t>CCS_PROT_VOLTAGE_COUNT_RESTART</t>
  </si>
  <si>
    <t>CCS_PROT_OVERLOAD_COUNT_RESTART</t>
  </si>
  <si>
    <t>CCS_PROT_UNDERLOAD_COUNT_RESTART</t>
  </si>
  <si>
    <t>CCS_PROT_IMBALANCE_CURRENT_MOTOR_COUNT_RESTART</t>
  </si>
  <si>
    <t>CCS_GENERAL_RUN_DATE_TIME</t>
  </si>
  <si>
    <t>CCS_GENERAL_STOP_DATE_TIME</t>
  </si>
  <si>
    <t>CCS_RUN_DATE_TIME</t>
  </si>
  <si>
    <t>CCS_STOP_DATE_TIME</t>
  </si>
  <si>
    <t>CCS_RGM_TIMER</t>
  </si>
  <si>
    <t>CCS_RESTART_TIMER</t>
  </si>
  <si>
    <t>CCS_LAST_RUN_DATE_TIME</t>
  </si>
  <si>
    <t>CCS_LAST_RUN_REASON</t>
  </si>
  <si>
    <t>CCS_LAST_STOP_DATE_TIME</t>
  </si>
  <si>
    <t>CCS_LAST_STOP_REASON</t>
  </si>
  <si>
    <t>CCS_PREVIEW_FREQUENCY_DATE_TIME</t>
  </si>
  <si>
    <t>CCS_PREVIEW_FREQUENCY</t>
  </si>
  <si>
    <t>CCS_TYPE_CCS</t>
  </si>
  <si>
    <t>CCS_CODE_PRODUCTION_CCS</t>
  </si>
  <si>
    <t>CCS_NUM_PRODUCTION_CCS</t>
  </si>
  <si>
    <t>CCS_VERSION_SW_CCS</t>
  </si>
  <si>
    <t>CCS_VERSION_SW_MS</t>
  </si>
  <si>
    <t>CCS_VERSION_SW_VSD</t>
  </si>
  <si>
    <t>CCS_DATE_PRODUCTION_CCS</t>
  </si>
  <si>
    <t>CCS_DATE_INSTALL_SW_CCS</t>
  </si>
  <si>
    <t>CCS_DATE_CREATE_SW_CCS</t>
  </si>
  <si>
    <t>CCS_DATE_INSTALL_SW_VSD</t>
  </si>
  <si>
    <t>CCS_TYPE_SU</t>
  </si>
  <si>
    <t>CCS_CODE_PRODUCTION_SU</t>
  </si>
  <si>
    <t>CCS_NUM_PRODUCTION_SU</t>
  </si>
  <si>
    <t>CCS_DATE_PRODUCTION_SU</t>
  </si>
  <si>
    <t>CCS_NOTE_1</t>
  </si>
  <si>
    <t>CCS_NOTE_2</t>
  </si>
  <si>
    <t>CCS_NOTE_3</t>
  </si>
  <si>
    <t>CCS_NOTE_4</t>
  </si>
  <si>
    <t>CCS_NOTE_5</t>
  </si>
  <si>
    <t>CCS_NOTE_6</t>
  </si>
  <si>
    <t>CCS_NOTE_7</t>
  </si>
  <si>
    <t>CCS_NOTE_8</t>
  </si>
  <si>
    <t>CCS_NOTE_9</t>
  </si>
  <si>
    <t>CCS_NOTE_10</t>
  </si>
  <si>
    <t>CCS_DATE_TIME</t>
  </si>
  <si>
    <t>CCS_DATE_TIME_YEAR</t>
  </si>
  <si>
    <t>CCS_DATE_TIME_MONTH</t>
  </si>
  <si>
    <t>CCS_DATE_TIME_DAY</t>
  </si>
  <si>
    <t>CCS_DATE_TIME_HOUR</t>
  </si>
  <si>
    <t>CCS_DATE_TIME_MIN</t>
  </si>
  <si>
    <t>CCS_DATE_TIME_SEC</t>
  </si>
  <si>
    <t>CCS_DATE_TIME_MS</t>
  </si>
  <si>
    <t>CCS_LANGUAGE</t>
  </si>
  <si>
    <t>CCS_PASSWORD_ENEBLE</t>
  </si>
  <si>
    <t>CCS_PASSWORD_LEVEL</t>
  </si>
  <si>
    <t>CCS_PASSWORD_LEVEL_1</t>
  </si>
  <si>
    <t>CCS_PASSWORD_LEVEL_2</t>
  </si>
  <si>
    <t>CCS_PASSWORD_LEVEL_3</t>
  </si>
  <si>
    <t>CCS_PASSWORD_LEVEL_4</t>
  </si>
  <si>
    <t>CCS_PASSWORD_LEVEL_5</t>
  </si>
  <si>
    <t>CCS_SCADA_TYPE</t>
  </si>
  <si>
    <t>CCS_SCADA_CODE</t>
  </si>
  <si>
    <t>CCS_SCADA_ADDRESS</t>
  </si>
  <si>
    <t>CCS_SCADA_BYTERATE</t>
  </si>
  <si>
    <t>CCS_SCADA_PARITY</t>
  </si>
  <si>
    <t>CCS_SCADA_STOPBIT</t>
  </si>
  <si>
    <t>CCS_SCADA_DELAY</t>
  </si>
  <si>
    <t>CCS_UNIT_PRESSURE</t>
  </si>
  <si>
    <t>CCS_UNIT_TEMPERATURE</t>
  </si>
  <si>
    <t>CCS_UNIT_VIBRATION</t>
  </si>
  <si>
    <t>CCS_UNIT_LENGHT</t>
  </si>
  <si>
    <t>CCS_UNIT_FLOW</t>
  </si>
  <si>
    <t>CCS_UNIT_PLACE</t>
  </si>
  <si>
    <t>CCS_VSD_CONDITION</t>
  </si>
  <si>
    <t>CCS_CMD_STOP</t>
  </si>
  <si>
    <t>CCS_CMD_START</t>
  </si>
  <si>
    <t>CCS_CMD_LOG_COPY</t>
  </si>
  <si>
    <t>CCS_CMD_LOG_DELETE</t>
  </si>
  <si>
    <t>CCS_CMD_SERVICE_LOG_DELETE</t>
  </si>
  <si>
    <t>CCS_CMD_DHS_TYPE_AUTO</t>
  </si>
  <si>
    <t>CCS_CMD_PROT_ALL_UNBLOCKING</t>
  </si>
  <si>
    <t>CCS_CMD_PROT_ALL_SETPOINT_RESET</t>
  </si>
  <si>
    <t>CCS_CMD_PROT_SUPPLY_UNBLOCKING</t>
  </si>
  <si>
    <t>CCS_CMD_PROT_SUPPLY_SETPOINT_RESET</t>
  </si>
  <si>
    <t>CCS_CMD_PROT_SUPPLY_OVERVOLTAGE_SETPOINT_RESET</t>
  </si>
  <si>
    <t>CCS_CMD_PROT_SUPPLY_UNDERVOLTAGE_SETPOINT_RESET</t>
  </si>
  <si>
    <t>CCS_CMD_PROT_SUPPLY_IMBALANCE_VOLTAGE_SETPOINT_RESET</t>
  </si>
  <si>
    <t>CCS_CMD_PROT_SUPPLY_IMBALANCE_CURRENT_SETPOINT_RESET</t>
  </si>
  <si>
    <t>CCS_CMD_PROT_SUPPLY_PHASE_ROTATION_SETPOINT_RESET</t>
  </si>
  <si>
    <t>CCS_CMD_PROT_MOTOR_UNBLOCKING</t>
  </si>
  <si>
    <t>CCS_CMD_PROT_MOTOR_SETPOINT_RESET</t>
  </si>
  <si>
    <t>CCS_CMD_PROT_MOTOR_OVERLOAD_SETPOINT_RESET</t>
  </si>
  <si>
    <t>CCS_CMD_PROT_MOTOR_UNDERLOAD_SETPOINT_RESET</t>
  </si>
  <si>
    <t>CCS_CMD_PROT_MOTOR_IMBALANCE_CURRENT_SETPOINT_RESET</t>
  </si>
  <si>
    <t>CCS_CMD_PROT_MOTOR_ASYNC_SETPOINT_RESET</t>
  </si>
  <si>
    <t>CCS_CMD_PROT_MOTOR_OUT_OF_SYNC_SETPOINT_RESET</t>
  </si>
  <si>
    <t>CCS_CMD_PROT_DHS_UNBLOCKING</t>
  </si>
  <si>
    <t>CCS_CMD_PROT_DHS_SETPOINT_RESET</t>
  </si>
  <si>
    <t>CCS_CMD_PROT_DHS_PRESSURE_INTAKE_SETPOINT_RESET</t>
  </si>
  <si>
    <t>CCS_CMD_PROT_DHS_TEMPERATURE_MOTOR_SETPOINT_RESET</t>
  </si>
  <si>
    <t>CCS_CMD_PROT_DHS_RESISTANCE_SETPOINT_RESET</t>
  </si>
  <si>
    <t>CCS_CMD_PROT_DHS_VIBRATION_SETPOINT_RESET</t>
  </si>
  <si>
    <t>CCS_CMD_PROT_AI_SETPOINT_RESET</t>
  </si>
  <si>
    <t>CCS_CMD_PROT_AI_1_SETPOINT_RESET</t>
  </si>
  <si>
    <t>CCS_CMD_PROT_AI_2_SETPOINT_RESET</t>
  </si>
  <si>
    <t>CCS_CMD_PROT_AI_3_SETPOINT_RESET</t>
  </si>
  <si>
    <t>CCS_CMD_PROT_AI_4_SETPOINT_RESET</t>
  </si>
  <si>
    <t>CCS_CMD_PROT_DI_SETPOINT_RESET</t>
  </si>
  <si>
    <t>CCS_CMD_PROT_DI_1_SETPOINT_RESET</t>
  </si>
  <si>
    <t>CCS_CMD_PROT_DI_2_SETPOINT_RESET</t>
  </si>
  <si>
    <t>CCS_CMD_PROT_DI_3_SETPOINT_RESET</t>
  </si>
  <si>
    <t>CCS_CMD_PROT_DI_4_SETPOINT_RESET</t>
  </si>
  <si>
    <t>CCS_CMD_RGM_MODE_SAVE</t>
  </si>
  <si>
    <t>CCS_CMD_COUNTER_ALL_RESET</t>
  </si>
  <si>
    <t>VSD_BEGIN=10000</t>
  </si>
  <si>
    <t>VSD_POWER_FULL</t>
  </si>
  <si>
    <t>VSD_UF_TYPE</t>
  </si>
  <si>
    <t>VSD_UF_CHARACTERISTIC_U_1</t>
  </si>
  <si>
    <t>VSD_UF_CHARACTERISTIC_F_1</t>
  </si>
  <si>
    <t>VSD_UF_CHARACTERISTIC_U_2</t>
  </si>
  <si>
    <t>VSD_UF_CHARACTERISTIC_F_2</t>
  </si>
  <si>
    <t>VSD_UF_CHARACTERISTIC_U_3</t>
  </si>
  <si>
    <t>VSD_UF_CHARACTERISTIC_F_3</t>
  </si>
  <si>
    <t>VSD_UF_CHARACTERISTIC_U_4</t>
  </si>
  <si>
    <t>VSD_UF_CHARACTERISTIC_F_4</t>
  </si>
  <si>
    <t>VSD_UF_CHARACTERISTIC_U_5</t>
  </si>
  <si>
    <t>VSD_UF_CHARACTERISTIC_F_5</t>
  </si>
  <si>
    <t>VSD_UF_CHARACTERISTIC_U_6</t>
  </si>
  <si>
    <t>VSD_UF_CHARACTERISTIC_F_6</t>
  </si>
  <si>
    <t>VSD_AST_STANDING</t>
  </si>
  <si>
    <t>VSD_PID_T_REG_1</t>
  </si>
  <si>
    <t>VSD_CONFIG_MODE</t>
  </si>
  <si>
    <t>VSD_INDEX</t>
  </si>
  <si>
    <t>VSD_UNIT_SPEED</t>
  </si>
  <si>
    <t>VSD_TORQUE_CHARACTERISTIC</t>
  </si>
  <si>
    <t>VSD_OVERLOAD_MODE</t>
  </si>
  <si>
    <t>VSD_DAMPING_GANE</t>
  </si>
  <si>
    <t>VSD_LOW_SPEED_FILTER_TIME</t>
  </si>
  <si>
    <t>VSD_HIGH_SPEED_FILTER_TIME</t>
  </si>
  <si>
    <t>VSD_RATE_TORQUE_MOTOR</t>
  </si>
  <si>
    <t>VSD_RESISTANCE_STATOR</t>
  </si>
  <si>
    <t>VSD_UF_CHARACTERISTIC_U</t>
  </si>
  <si>
    <t>VSD_UF_CHARACTERISTIC_F</t>
  </si>
  <si>
    <t>VSD_RESONANCE_REMOVE</t>
  </si>
  <si>
    <t>VSD_RESONANCE_TIME</t>
  </si>
  <si>
    <t>VSD_MIN_CURRENT_LOW_SPEED</t>
  </si>
  <si>
    <t>VSD_PM_START_MODE</t>
  </si>
  <si>
    <t>VSD_START_DELAY</t>
  </si>
  <si>
    <t>VSD_START_FUNCTION</t>
  </si>
  <si>
    <t>VSD_STOP_FUNCTION</t>
  </si>
  <si>
    <t>VSD_STOP_SPEED</t>
  </si>
  <si>
    <t>VSD_CONTROL_TERMISTOR_MTR</t>
  </si>
  <si>
    <t>VSD_THERMISTOR_RESOURCE</t>
  </si>
  <si>
    <t>VSD_PARKING_CURRENT</t>
  </si>
  <si>
    <t>VSD_PARKING_TIME</t>
  </si>
  <si>
    <t>VSD_OVERVOLTAGE_CONTROL</t>
  </si>
  <si>
    <t>VSD_MIN_REFERENCE</t>
  </si>
  <si>
    <t>VSD_MAX_REFERENCE</t>
  </si>
  <si>
    <t>VSD_RESOURCE_TASK_1</t>
  </si>
  <si>
    <t>VSD_RESOURCE_TASK_2</t>
  </si>
  <si>
    <t>VSD_RESOURCE_TASK_3</t>
  </si>
  <si>
    <t>VSD_TYPE_SPEED_CHANGE</t>
  </si>
  <si>
    <t>VSD_TIMER_DISP_FIX_SPEED</t>
  </si>
  <si>
    <t>VSD_TIMER_DELAY_FIX_SPEED</t>
  </si>
  <si>
    <t>VSD_TORQUE_LIMIT</t>
  </si>
  <si>
    <t>VSD_TORQUE_LIMIT_GEN</t>
  </si>
  <si>
    <t>VSD_CURRENT_LIMIT</t>
  </si>
  <si>
    <t>VSD_MAX_OUTPUT_FREQUENCY</t>
  </si>
  <si>
    <t>VSD_MTR_FEEDBACK_LOSS_FUNC</t>
  </si>
  <si>
    <t>VSD_TRACK_ERROR_FUNCTION</t>
  </si>
  <si>
    <t>VSD_TRACK_ERROR</t>
  </si>
  <si>
    <t>VSD_TRACK_ERROR_TIMEOUT</t>
  </si>
  <si>
    <t>VSD_TRACK_ERROR_RAMPING</t>
  </si>
  <si>
    <t>VSD_TRACK_ERROR_RAMP_TIME</t>
  </si>
  <si>
    <t>VSD_TRACK_ERROR_AFTER_RAMP</t>
  </si>
  <si>
    <t>VSD_WARNING_CURRENT_LOW</t>
  </si>
  <si>
    <t>VSD_WARNING_CURRENT_HIGH</t>
  </si>
  <si>
    <t>VSD_WARNING_SPEED_LOW</t>
  </si>
  <si>
    <t>VSD_TERMINAL_27_MODE</t>
  </si>
  <si>
    <t>VSD_TERMINAL_29_MODE</t>
  </si>
  <si>
    <t>VSD_DI_18</t>
  </si>
  <si>
    <t>VSD_DI_19</t>
  </si>
  <si>
    <t>VSD_DI_27</t>
  </si>
  <si>
    <t>VSD_DI_32</t>
  </si>
  <si>
    <t>VSD_DI_33</t>
  </si>
  <si>
    <t>VSD_TERMINAL_27_DI</t>
  </si>
  <si>
    <t>VSD_TERMINAL_29_DI</t>
  </si>
  <si>
    <t>VSD_FUNCTION_RELE</t>
  </si>
  <si>
    <t>VSD_ON_DELAY_RELAY</t>
  </si>
  <si>
    <t>VSD_42_AO</t>
  </si>
  <si>
    <t>VSD_SL_CONTROLLER_MODE</t>
  </si>
  <si>
    <t>VSD_SL_START_EVENT</t>
  </si>
  <si>
    <t>VSD_SL_STOP_EVENT</t>
  </si>
  <si>
    <t>VSD_SL_RESET</t>
  </si>
  <si>
    <t>VSD_SL_10</t>
  </si>
  <si>
    <t>VSD_SL_11</t>
  </si>
  <si>
    <t>VSD_SL_12</t>
  </si>
  <si>
    <t>VSD_SL_15</t>
  </si>
  <si>
    <t>VSD_SL_16</t>
  </si>
  <si>
    <t>VSD_SL_20</t>
  </si>
  <si>
    <t>VSD_SL_40</t>
  </si>
  <si>
    <t>VSD_SL_41</t>
  </si>
  <si>
    <t>VSD_SL_42</t>
  </si>
  <si>
    <t>VSD_SL_43</t>
  </si>
  <si>
    <t>VSD_SL_44</t>
  </si>
  <si>
    <t>VSD_SL_51</t>
  </si>
  <si>
    <t>VSD_SL_52</t>
  </si>
  <si>
    <t>VSD_SWITCHING_FREQUENCY</t>
  </si>
  <si>
    <t>VSD_OVERMODULATION</t>
  </si>
  <si>
    <t>VSD_DEAD_TIME_COMPENSATION</t>
  </si>
  <si>
    <t>VSD_MAINS_FAILURE</t>
  </si>
  <si>
    <t>VSD_MAINS_VOLTAGE_FAILURE</t>
  </si>
  <si>
    <t>VSD_RESET_MODE</t>
  </si>
  <si>
    <t>VSD_AUTOSTART_TIME</t>
  </si>
  <si>
    <t>VSD_DELAY_CURRENT_LIMIT</t>
  </si>
  <si>
    <t>VSD_DELAY_TORQUE_LIMIT</t>
  </si>
  <si>
    <t>VSD_FIL_TIME_CURRENT_LIMIT</t>
  </si>
  <si>
    <t>VSD_DC_COMPENSATION</t>
  </si>
  <si>
    <t>VSD_FAN_CONTROL</t>
  </si>
  <si>
    <t>VSD_OUT_FILTER</t>
  </si>
  <si>
    <t>VSD_FAIL_RESET</t>
  </si>
  <si>
    <t>VSD_SOFT_VERSION</t>
  </si>
  <si>
    <t>VSD_COMMAND_WORD</t>
  </si>
  <si>
    <t>VSD_STATUS_WORD</t>
  </si>
  <si>
    <t>VSD_OUT_CURRENT_MOTOR</t>
  </si>
  <si>
    <t>VSD_RADIATOR_TEMPERATURE</t>
  </si>
  <si>
    <t>VSD_CONTROL_TEMPERATURE</t>
  </si>
  <si>
    <t>VSD_DI_VSD</t>
  </si>
  <si>
    <t>VSD_LAST_ALARM</t>
  </si>
  <si>
    <t>VSD_ALARM_WORD_1</t>
  </si>
  <si>
    <t>VSD_ALARM_WORD_2</t>
  </si>
  <si>
    <t>VSD_WARNING_WORD_1</t>
  </si>
  <si>
    <t>VSD_WARNING_WORD_2</t>
  </si>
  <si>
    <t>VSD_HIGH_START_TORQUE_TIME</t>
  </si>
  <si>
    <t>VSD_HIGH_START_TORQUE_CURRENT</t>
  </si>
  <si>
    <t>VSD_LOCK_ROTOR_PROTECTION</t>
  </si>
  <si>
    <t>VSD_LOCK_ROTOR_TIME</t>
  </si>
  <si>
    <t>TMS_BEGIN=15000</t>
  </si>
  <si>
    <t>EM_BEGIN=20000</t>
  </si>
  <si>
    <t>EM_VOLTAGE_PHASE_1_2</t>
  </si>
  <si>
    <t>EM_VOLTAGE_PHASE_2_3</t>
  </si>
  <si>
    <t>EM_VOLTAGE_PHASE_3_1</t>
  </si>
  <si>
    <t>EM_COS_PHI</t>
  </si>
  <si>
    <t>EM_COS_PHI_PHASE_1</t>
  </si>
  <si>
    <t>EM_COS_PHI_PHASE_2</t>
  </si>
  <si>
    <t>EM_COS_PHI_PHASE_3</t>
  </si>
  <si>
    <t>EM_FULL_POWER_PHASE_1</t>
  </si>
  <si>
    <t>EM_FULL_POWER_PHASE_2</t>
  </si>
  <si>
    <t>EM_FULL_POWER_PHASE_3</t>
  </si>
  <si>
    <t>EM_ACTIVE_POWER_PHASE_1</t>
  </si>
  <si>
    <t>EM_ACTIVE_POWER_PHASE_2</t>
  </si>
  <si>
    <t>EM_ACTIVE_POWER_PHASE_3</t>
  </si>
  <si>
    <t>EM_REACTIVE_POWER</t>
  </si>
  <si>
    <t>EM_REACTIVE_POWER_PHASE_1</t>
  </si>
  <si>
    <t>EM_REACTIVE_POWER_PHASE_2</t>
  </si>
  <si>
    <t>EM_REACTIVE_POWER_PHASE_3</t>
  </si>
  <si>
    <t>EM_ACTIVE_PLUS_ALL</t>
  </si>
  <si>
    <t>EM_ACTIVE_MINUS_ALL</t>
  </si>
  <si>
    <t>EM_ACTIVE_PLUS_CUR_DAY</t>
  </si>
  <si>
    <t>EM_ACTIVE_MINUS_CUR_DAY</t>
  </si>
  <si>
    <t>EM_ACTIVE_PLUS_PREV_DAY</t>
  </si>
  <si>
    <t>EM_ACTIVE_MINUS_PREV_DAY</t>
  </si>
  <si>
    <t>EM_ACTIVE_PLUS_CUR_MONTH</t>
  </si>
  <si>
    <t>EM_ACTIVE_MINUS_CUR_MONTH</t>
  </si>
  <si>
    <t>EM_ACTIVE_PLUS_PREV_MONTH</t>
  </si>
  <si>
    <t>EM_ACTIVE_MINUS_PREV_MONTH</t>
  </si>
  <si>
    <t>EM_REACTIVE_ENERGY</t>
  </si>
  <si>
    <t>EM_REACTIVE_PLUS_ALL</t>
  </si>
  <si>
    <t>EM_REACTIVE_MINUS_ALL</t>
  </si>
  <si>
    <t>EM_REACTIVE_PLUS_CUR_DAY</t>
  </si>
  <si>
    <t>EM_REACTIVE_MINUS_CUR_DAY</t>
  </si>
  <si>
    <t>EM_REACTIVE_PLUS_PREV_DAY</t>
  </si>
  <si>
    <t>EM_REACTIVE_MINUS_PREV_DAY</t>
  </si>
  <si>
    <t>EM_REACTIVE_PLUS_CUR_MONTH</t>
  </si>
  <si>
    <t>EM_REACTIVE_MINUS_CUR_MONTH</t>
  </si>
  <si>
    <t>EM_REACTIVE_PLUS_PREV_MONTH</t>
  </si>
  <si>
    <t>EM_REACTIVE_MINUS_PREV_MONTH</t>
  </si>
  <si>
    <t>EM_COEFFICIENT_TRANS_CURRENT</t>
  </si>
  <si>
    <t>EM_COEFFICIENT_TRANS_VOLTAGE</t>
  </si>
  <si>
    <t>EM_END</t>
  </si>
  <si>
    <t>Текущий Косинус Фи</t>
  </si>
  <si>
    <t>Сопротивление изоляции в системе</t>
  </si>
  <si>
    <t>ACCESS</t>
  </si>
  <si>
    <t>OPERATION</t>
  </si>
  <si>
    <t>PHYSIC</t>
  </si>
  <si>
    <t>FORMAT</t>
  </si>
  <si>
    <t>FORM</t>
  </si>
  <si>
    <t>Ток Ia</t>
  </si>
  <si>
    <t>Ток Ib</t>
  </si>
  <si>
    <t>UNIT</t>
  </si>
  <si>
    <t>UNIT LCD</t>
  </si>
  <si>
    <t>Дисбаланс токов</t>
  </si>
  <si>
    <t>%</t>
  </si>
  <si>
    <t>XXXXXX</t>
  </si>
  <si>
    <t>Ток ПЭД</t>
  </si>
  <si>
    <t>Загрузка ПЭД</t>
  </si>
  <si>
    <t>SHORT TEXT</t>
  </si>
  <si>
    <t>Ток двигателя фаза A</t>
  </si>
  <si>
    <t>Ток двигателя фаза B</t>
  </si>
  <si>
    <t>Tок двигателя фаза С</t>
  </si>
  <si>
    <t>Ток Ic</t>
  </si>
  <si>
    <t>Загрузка</t>
  </si>
  <si>
    <t>VALUES</t>
  </si>
  <si>
    <t>Направ.вращения</t>
  </si>
  <si>
    <t>Вых.частота</t>
  </si>
  <si>
    <t>Напряжение ПЧ/ТМПН</t>
  </si>
  <si>
    <t>Напряж.ПЧ/ТМПН</t>
  </si>
  <si>
    <t>Актив.мощность</t>
  </si>
  <si>
    <t>PHYSIC_ACTIV_POWER</t>
  </si>
  <si>
    <t>кВт</t>
  </si>
  <si>
    <t>В</t>
  </si>
  <si>
    <t>А</t>
  </si>
  <si>
    <t>Гц</t>
  </si>
  <si>
    <t>ХХХХ_Х</t>
  </si>
  <si>
    <t>Коэф.мощности</t>
  </si>
  <si>
    <t>Вход.напр.А</t>
  </si>
  <si>
    <t>Вход.напр.B</t>
  </si>
  <si>
    <t>Вход.напр.С</t>
  </si>
  <si>
    <t>Напряжение Ua</t>
  </si>
  <si>
    <t>Напряжение Ub</t>
  </si>
  <si>
    <t>Напряжение Uc</t>
  </si>
  <si>
    <t>Дисбаланс напряжений</t>
  </si>
  <si>
    <t>Дисб.вход.напр.</t>
  </si>
  <si>
    <t>Сопр.изоляции</t>
  </si>
  <si>
    <t>RESISTANCE_OM</t>
  </si>
  <si>
    <t>кОм</t>
  </si>
  <si>
    <t>ХХХХХХ</t>
  </si>
  <si>
    <t>Частота турбинного вращения</t>
  </si>
  <si>
    <t>Частота турб.</t>
  </si>
  <si>
    <t>Чередование фаз</t>
  </si>
  <si>
    <t>CCS_VOLTAGE_TRANS_OUT</t>
  </si>
  <si>
    <t>Выходное напряжение ТМПН</t>
  </si>
  <si>
    <t>Вых.напр.ТМПН</t>
  </si>
  <si>
    <t>Давление на приеме насоса</t>
  </si>
  <si>
    <t>Pвх.нас</t>
  </si>
  <si>
    <t>PRESSURE_MPA</t>
  </si>
  <si>
    <t>Мпа</t>
  </si>
  <si>
    <t>ХХХ_ХХ</t>
  </si>
  <si>
    <t>ХХ_ХХХ</t>
  </si>
  <si>
    <t>Температура обмотки ПЭД</t>
  </si>
  <si>
    <t>Т обмотки ПЭД</t>
  </si>
  <si>
    <t>C</t>
  </si>
  <si>
    <t>Вибрация по оси X+Y</t>
  </si>
  <si>
    <t>Вибрация Х+Y</t>
  </si>
  <si>
    <t>PHYSIC_ACCELERATION</t>
  </si>
  <si>
    <t>ACCELERATION_G</t>
  </si>
  <si>
    <t>g</t>
  </si>
  <si>
    <t>Вибрация Z</t>
  </si>
  <si>
    <t>Вибрация по оси Z</t>
  </si>
  <si>
    <t>Температура жидкости на приеме насоса</t>
  </si>
  <si>
    <t>T жидк.на приеме</t>
  </si>
  <si>
    <t>С</t>
  </si>
  <si>
    <t>Давление на выкиде насоса</t>
  </si>
  <si>
    <t>Pвых.нас</t>
  </si>
  <si>
    <t>Температура на выкиде насоса</t>
  </si>
  <si>
    <t>Tвых.нас</t>
  </si>
  <si>
    <t>Расход на выкиде насоса</t>
  </si>
  <si>
    <t>Qвых.нас</t>
  </si>
  <si>
    <t>PHYSIC_FLOW</t>
  </si>
  <si>
    <t>FLOW_M3DAY</t>
  </si>
  <si>
    <t>м3/сут</t>
  </si>
  <si>
    <t>Сигнал с дополнительного аналогового входа 1</t>
  </si>
  <si>
    <t>Сигнал с дополнительного аналогового входа 2</t>
  </si>
  <si>
    <t>Доп.ан.вх.1</t>
  </si>
  <si>
    <t>Доп.ан.вх.2</t>
  </si>
  <si>
    <t>Блокировка двери</t>
  </si>
  <si>
    <t>Дверь</t>
  </si>
  <si>
    <t>Сигнал с контактного манометра</t>
  </si>
  <si>
    <t>Конт.маном</t>
  </si>
  <si>
    <t>0-Замкнут; 1-Разомкнут</t>
  </si>
  <si>
    <t>0-Открыт; 1-Закрыт</t>
  </si>
  <si>
    <t>Цифровой вход 1</t>
  </si>
  <si>
    <t>Цифровой вход 2</t>
  </si>
  <si>
    <t>Цифровой вход 3</t>
  </si>
  <si>
    <t>Цифровой вход 4</t>
  </si>
  <si>
    <t>Сигнал с цифрового входа 1</t>
  </si>
  <si>
    <t>Сигнал с цифрового входа 2</t>
  </si>
  <si>
    <t>Сигнал с цифрового входа 3</t>
  </si>
  <si>
    <t>Сигнал с цифрового входа 4</t>
  </si>
  <si>
    <t>Номинальное напряжение сети</t>
  </si>
  <si>
    <t>Номин.напряжен.сети</t>
  </si>
  <si>
    <t>РРЗ от высокого напряжения фазы</t>
  </si>
  <si>
    <t>Повышен.напряж.РР3</t>
  </si>
  <si>
    <t>0-Откл; 1-Блок; 2-АПВ</t>
  </si>
  <si>
    <t>Уставка высокого напряжения фазы</t>
  </si>
  <si>
    <t>Повышен.напряж.уст.</t>
  </si>
  <si>
    <t>MIN</t>
  </si>
  <si>
    <t>MAX</t>
  </si>
  <si>
    <t>DEF</t>
  </si>
  <si>
    <t xml:space="preserve">Задержка срабатывания </t>
  </si>
  <si>
    <t>Задержка активации</t>
  </si>
  <si>
    <t>Повышен.напряж.пуск.время</t>
  </si>
  <si>
    <t>Повышен.напряж.время</t>
  </si>
  <si>
    <t>mm_ss</t>
  </si>
  <si>
    <t>РРЗ от низкого напряжения фазы</t>
  </si>
  <si>
    <t>Понижен.напряж.РРЗ</t>
  </si>
  <si>
    <t>Понижен.напряж.пуск.время</t>
  </si>
  <si>
    <t>Понижен.напряж.время</t>
  </si>
  <si>
    <t>Понижен.напряж.уст.</t>
  </si>
  <si>
    <t>Уставка низкого напряжения фазы</t>
  </si>
  <si>
    <t>ХХ_ХХ</t>
  </si>
  <si>
    <t>РРЗ от дисбаланса напряжений</t>
  </si>
  <si>
    <t>Дисбал.напряж.РР3</t>
  </si>
  <si>
    <t>Уставка дисбаланса напряжений</t>
  </si>
  <si>
    <t>Дисбал.напряж.уст.</t>
  </si>
  <si>
    <t>Дисбал.напряж.время</t>
  </si>
  <si>
    <t>Дисбал.напряж.пуск.время</t>
  </si>
  <si>
    <t>Сброс счетчиков АПВ по напряжению</t>
  </si>
  <si>
    <t>Защиты напряж.сброс счёт.</t>
  </si>
  <si>
    <t>hh_mm</t>
  </si>
  <si>
    <t>XX_XX</t>
  </si>
  <si>
    <t>MIN LCD</t>
  </si>
  <si>
    <t>MAX LCD</t>
  </si>
  <si>
    <t>DEF LCD</t>
  </si>
  <si>
    <t>Уставка по умолчанию</t>
  </si>
  <si>
    <t>Уста.по.умол.?</t>
  </si>
  <si>
    <t>0-Нет; 1-Да</t>
  </si>
  <si>
    <t>Номинальный ток ПЭД</t>
  </si>
  <si>
    <t>Номинальный ток двиг.</t>
  </si>
  <si>
    <t>Номинальный коэффициент мощности</t>
  </si>
  <si>
    <t>Номин.коэф.мощ.</t>
  </si>
  <si>
    <t>Напряж.отпайки</t>
  </si>
  <si>
    <t>РР3 от перегрузки (ЗП)</t>
  </si>
  <si>
    <t>Уставка перегрузки</t>
  </si>
  <si>
    <t>Перегруз двиг.уст.</t>
  </si>
  <si>
    <t>Перегруз двиг.РР3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</si>
</sst>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0"/>
      <name val="Courier New"/>
      <family val="3"/>
      <charset val="204"/>
    </font>
    <font>
      <sz val="10"/>
      <color theme="1"/>
      <name val="Courier New"/>
      <family val="3"/>
      <charset val="204"/>
    </font>
    <font>
      <sz val="11"/>
      <name val="Courier New"/>
      <family val="3"/>
      <charset val="204"/>
    </font>
    <font>
      <sz val="11"/>
      <color theme="1"/>
      <name val="Courier New"/>
      <family val="3"/>
      <charset val="204"/>
    </font>
    <font>
      <sz val="11"/>
      <color rgb="FF800080"/>
      <name val="Courier New"/>
      <family val="3"/>
      <charset val="204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6" fontId="0" fillId="0" borderId="0" xfId="0" applyNumberFormat="1"/>
    <xf numFmtId="0" fontId="0" fillId="0" borderId="1" xfId="0" applyFill="1" applyBorder="1"/>
    <xf numFmtId="0" fontId="0" fillId="2" borderId="0" xfId="0" applyFill="1"/>
    <xf numFmtId="0" fontId="0" fillId="2" borderId="1" xfId="0" applyFill="1" applyBorder="1"/>
    <xf numFmtId="0" fontId="0" fillId="0" borderId="1" xfId="0" applyFill="1" applyBorder="1" applyAlignment="1">
      <alignment horizontal="left"/>
    </xf>
    <xf numFmtId="0" fontId="2" fillId="3" borderId="1" xfId="0" applyFont="1" applyFill="1" applyBorder="1"/>
    <xf numFmtId="0" fontId="3" fillId="3" borderId="1" xfId="0" applyFont="1" applyFill="1" applyBorder="1"/>
    <xf numFmtId="0" fontId="4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left"/>
    </xf>
    <xf numFmtId="0" fontId="6" fillId="3" borderId="1" xfId="0" applyFont="1" applyFill="1" applyBorder="1"/>
    <xf numFmtId="0" fontId="5" fillId="0" borderId="0" xfId="0" applyFont="1"/>
    <xf numFmtId="0" fontId="5" fillId="0" borderId="0" xfId="0" applyFont="1" applyBorder="1"/>
    <xf numFmtId="0" fontId="5" fillId="0" borderId="0" xfId="0" applyFont="1" applyFill="1" applyBorder="1"/>
    <xf numFmtId="0" fontId="4" fillId="0" borderId="0" xfId="0" applyFont="1" applyFill="1" applyBorder="1"/>
    <xf numFmtId="0" fontId="5" fillId="4" borderId="0" xfId="0" applyFont="1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35"/>
  <sheetViews>
    <sheetView zoomScale="85" zoomScaleNormal="85" workbookViewId="0">
      <pane ySplit="1" topLeftCell="A2" activePane="bottomLeft" state="frozen"/>
      <selection pane="bottomLeft" activeCell="B29" sqref="B29"/>
    </sheetView>
  </sheetViews>
  <sheetFormatPr defaultRowHeight="15" x14ac:dyDescent="0.25"/>
  <cols>
    <col min="1" max="1" width="8" style="3" customWidth="1"/>
    <col min="2" max="2" width="31.7109375" style="3" customWidth="1"/>
    <col min="3" max="3" width="5" style="3" customWidth="1"/>
    <col min="4" max="4" width="18.7109375" style="3" customWidth="1"/>
    <col min="5" max="5" width="23.7109375" style="3" customWidth="1"/>
    <col min="6" max="6" width="20" style="6" customWidth="1"/>
    <col min="7" max="7" width="18.7109375" style="3" customWidth="1"/>
    <col min="8" max="8" width="15.140625" style="3" customWidth="1"/>
    <col min="9" max="9" width="9" style="3" customWidth="1"/>
    <col min="10" max="10" width="12.5703125" style="3" customWidth="1"/>
    <col min="11" max="11" width="10.5703125" style="3" customWidth="1"/>
    <col min="12" max="12" width="9.28515625" style="3" customWidth="1"/>
    <col min="13" max="14" width="18.140625" style="3" customWidth="1"/>
    <col min="15" max="15" width="8.7109375" style="3" customWidth="1"/>
    <col min="16" max="16" width="9.28515625" style="3" customWidth="1"/>
    <col min="17" max="17" width="13.42578125" style="3" customWidth="1"/>
    <col min="18" max="18" width="17.85546875" style="3" customWidth="1"/>
    <col min="19" max="19" width="14.5703125" style="3" customWidth="1"/>
    <col min="20" max="20" width="90" style="3" customWidth="1"/>
    <col min="22" max="16384" width="9.140625" style="3"/>
  </cols>
  <sheetData>
    <row r="1" spans="1:21" x14ac:dyDescent="0.25">
      <c r="A1" s="9" t="s">
        <v>51</v>
      </c>
      <c r="B1" s="9" t="s">
        <v>0</v>
      </c>
      <c r="C1" s="9" t="s">
        <v>52</v>
      </c>
      <c r="D1" s="9" t="s">
        <v>4</v>
      </c>
      <c r="E1" s="9" t="s">
        <v>541</v>
      </c>
      <c r="F1" s="10" t="s">
        <v>1</v>
      </c>
      <c r="G1" s="9" t="s">
        <v>545</v>
      </c>
      <c r="H1" s="9" t="s">
        <v>552</v>
      </c>
      <c r="I1" s="9" t="s">
        <v>2</v>
      </c>
      <c r="J1" s="9" t="s">
        <v>3</v>
      </c>
      <c r="K1" s="9" t="s">
        <v>407</v>
      </c>
      <c r="L1" s="9" t="s">
        <v>547</v>
      </c>
      <c r="M1" s="9" t="s">
        <v>543</v>
      </c>
      <c r="N1" s="7"/>
      <c r="O1" s="7" t="s">
        <v>553</v>
      </c>
      <c r="P1" s="7" t="s">
        <v>554</v>
      </c>
      <c r="Q1" s="7" t="s">
        <v>2</v>
      </c>
      <c r="R1" s="7" t="s">
        <v>3</v>
      </c>
      <c r="S1" s="7" t="s">
        <v>407</v>
      </c>
      <c r="T1" s="7" t="s">
        <v>5</v>
      </c>
    </row>
    <row r="2" spans="1:21" s="5" customFormat="1" x14ac:dyDescent="0.25">
      <c r="A2" s="9" t="s">
        <v>260</v>
      </c>
      <c r="B2" s="9" t="s">
        <v>19</v>
      </c>
      <c r="C2" s="9">
        <v>10</v>
      </c>
      <c r="D2" s="9" t="s">
        <v>9</v>
      </c>
      <c r="E2" s="9" t="s">
        <v>8</v>
      </c>
      <c r="F2" s="10" t="s">
        <v>542</v>
      </c>
      <c r="G2" s="9" t="s">
        <v>546</v>
      </c>
      <c r="H2" s="9">
        <f>O2/P2</f>
        <v>1</v>
      </c>
      <c r="I2" s="9">
        <v>0</v>
      </c>
      <c r="J2" s="9">
        <v>180</v>
      </c>
      <c r="K2" s="9">
        <v>0</v>
      </c>
      <c r="L2" s="9">
        <v>1</v>
      </c>
      <c r="M2" s="9" t="s">
        <v>544</v>
      </c>
      <c r="N2" s="7"/>
      <c r="O2" s="7">
        <v>1</v>
      </c>
      <c r="P2" s="7">
        <v>1</v>
      </c>
      <c r="Q2" s="7">
        <f>H2*I2</f>
        <v>0</v>
      </c>
      <c r="R2" s="7">
        <f>H2*J2</f>
        <v>180</v>
      </c>
      <c r="S2" s="7">
        <f>K2*O2/P2</f>
        <v>0</v>
      </c>
      <c r="T2" s="7" t="s">
        <v>17</v>
      </c>
      <c r="U2" s="4"/>
    </row>
    <row r="3" spans="1:21" s="5" customFormat="1" x14ac:dyDescent="0.25">
      <c r="A3" s="9" t="s">
        <v>6</v>
      </c>
      <c r="B3" s="9" t="s">
        <v>20</v>
      </c>
      <c r="C3" s="9">
        <v>11</v>
      </c>
      <c r="D3" s="9" t="s">
        <v>11</v>
      </c>
      <c r="E3" s="9" t="s">
        <v>10</v>
      </c>
      <c r="F3" s="10">
        <v>1</v>
      </c>
      <c r="G3" s="9" t="s">
        <v>546</v>
      </c>
      <c r="H3" s="9">
        <f>O3/P3</f>
        <v>1</v>
      </c>
      <c r="I3" s="9">
        <v>0</v>
      </c>
      <c r="J3" s="9">
        <v>253</v>
      </c>
      <c r="K3" s="9">
        <v>0</v>
      </c>
      <c r="L3" s="9">
        <v>1</v>
      </c>
      <c r="M3" s="9" t="s">
        <v>544</v>
      </c>
      <c r="N3" s="7"/>
      <c r="O3" s="7">
        <v>1</v>
      </c>
      <c r="P3" s="7">
        <v>1</v>
      </c>
      <c r="Q3" s="7">
        <f t="shared" ref="Q3:Q66" si="0">H3*I3</f>
        <v>0</v>
      </c>
      <c r="R3" s="7">
        <f t="shared" ref="R3:R66" si="1">H3*J3</f>
        <v>253</v>
      </c>
      <c r="S3" s="7">
        <f>K3*O3/P3</f>
        <v>0</v>
      </c>
      <c r="T3" s="7" t="s">
        <v>16</v>
      </c>
      <c r="U3" s="4"/>
    </row>
    <row r="4" spans="1:21" s="5" customFormat="1" x14ac:dyDescent="0.25">
      <c r="A4" s="9" t="s">
        <v>7</v>
      </c>
      <c r="B4" s="9" t="s">
        <v>21</v>
      </c>
      <c r="C4" s="9">
        <v>12</v>
      </c>
      <c r="D4" s="9" t="s">
        <v>9</v>
      </c>
      <c r="E4" s="9" t="s">
        <v>10</v>
      </c>
      <c r="F4" s="10">
        <v>1</v>
      </c>
      <c r="G4" s="9" t="s">
        <v>546</v>
      </c>
      <c r="H4" s="9">
        <f>O4/P4</f>
        <v>1</v>
      </c>
      <c r="I4" s="9">
        <v>0</v>
      </c>
      <c r="J4" s="9">
        <v>3</v>
      </c>
      <c r="K4" s="9">
        <v>0</v>
      </c>
      <c r="L4" s="9">
        <v>1</v>
      </c>
      <c r="M4" s="9" t="s">
        <v>544</v>
      </c>
      <c r="N4" s="7"/>
      <c r="O4" s="7">
        <v>1</v>
      </c>
      <c r="P4" s="7">
        <v>1</v>
      </c>
      <c r="Q4" s="7">
        <f t="shared" si="0"/>
        <v>0</v>
      </c>
      <c r="R4" s="7">
        <f t="shared" si="1"/>
        <v>3</v>
      </c>
      <c r="S4" s="7">
        <f>K4*O4/P4</f>
        <v>0</v>
      </c>
      <c r="T4" s="7" t="s">
        <v>15</v>
      </c>
      <c r="U4" s="4"/>
    </row>
    <row r="5" spans="1:21" s="5" customFormat="1" x14ac:dyDescent="0.25">
      <c r="A5" s="9" t="s">
        <v>12</v>
      </c>
      <c r="B5" s="9" t="s">
        <v>22</v>
      </c>
      <c r="C5" s="9">
        <v>13</v>
      </c>
      <c r="D5" s="9" t="s">
        <v>9</v>
      </c>
      <c r="E5" s="9" t="s">
        <v>13</v>
      </c>
      <c r="F5" s="10" t="s">
        <v>548</v>
      </c>
      <c r="G5" s="9" t="s">
        <v>546</v>
      </c>
      <c r="H5" s="9">
        <f>O5/P5</f>
        <v>0.65591397849462363</v>
      </c>
      <c r="I5" s="9">
        <v>15</v>
      </c>
      <c r="J5" s="9">
        <v>609</v>
      </c>
      <c r="K5" s="9">
        <v>76</v>
      </c>
      <c r="L5" s="9">
        <v>1</v>
      </c>
      <c r="M5" s="9" t="s">
        <v>544</v>
      </c>
      <c r="N5" s="7"/>
      <c r="O5" s="7">
        <v>671</v>
      </c>
      <c r="P5" s="7">
        <v>1023</v>
      </c>
      <c r="Q5" s="7">
        <f t="shared" si="0"/>
        <v>9.8387096774193541</v>
      </c>
      <c r="R5" s="7">
        <f t="shared" si="1"/>
        <v>399.45161290322579</v>
      </c>
      <c r="S5" s="7">
        <f>K5*H5</f>
        <v>49.849462365591393</v>
      </c>
      <c r="T5" s="7" t="s">
        <v>14</v>
      </c>
      <c r="U5" s="4"/>
    </row>
    <row r="6" spans="1:21" s="5" customFormat="1" x14ac:dyDescent="0.25">
      <c r="A6" s="9" t="s">
        <v>18</v>
      </c>
      <c r="B6" s="9" t="s">
        <v>23</v>
      </c>
      <c r="C6" s="9">
        <v>20</v>
      </c>
      <c r="D6" s="9" t="s">
        <v>11</v>
      </c>
      <c r="E6" s="9" t="s">
        <v>10</v>
      </c>
      <c r="F6" s="10">
        <v>1</v>
      </c>
      <c r="G6" s="9" t="s">
        <v>546</v>
      </c>
      <c r="H6" s="9">
        <f t="shared" ref="H6:H69" si="2">O6/P6</f>
        <v>1</v>
      </c>
      <c r="I6" s="9">
        <v>0</v>
      </c>
      <c r="J6" s="9">
        <v>65535</v>
      </c>
      <c r="K6" s="9">
        <v>0</v>
      </c>
      <c r="L6" s="9">
        <v>1</v>
      </c>
      <c r="M6" s="9" t="s">
        <v>544</v>
      </c>
      <c r="N6" s="7"/>
      <c r="O6" s="7">
        <v>1</v>
      </c>
      <c r="P6" s="7">
        <v>1</v>
      </c>
      <c r="Q6" s="7">
        <f t="shared" si="0"/>
        <v>0</v>
      </c>
      <c r="R6" s="7">
        <f t="shared" si="1"/>
        <v>65535</v>
      </c>
      <c r="S6" s="7">
        <f>K6*O6/P6</f>
        <v>0</v>
      </c>
      <c r="T6" s="7" t="s">
        <v>24</v>
      </c>
      <c r="U6" s="4"/>
    </row>
    <row r="7" spans="1:21" s="5" customFormat="1" x14ac:dyDescent="0.25">
      <c r="A7" s="9" t="s">
        <v>26</v>
      </c>
      <c r="B7" s="9" t="s">
        <v>25</v>
      </c>
      <c r="C7" s="9">
        <v>30</v>
      </c>
      <c r="D7" s="9" t="s">
        <v>11</v>
      </c>
      <c r="E7" s="9" t="s">
        <v>10</v>
      </c>
      <c r="F7" s="10">
        <v>1</v>
      </c>
      <c r="G7" s="9" t="s">
        <v>546</v>
      </c>
      <c r="H7" s="9">
        <f t="shared" si="2"/>
        <v>1</v>
      </c>
      <c r="I7" s="9">
        <v>0</v>
      </c>
      <c r="J7" s="9">
        <v>7951</v>
      </c>
      <c r="K7" s="9">
        <v>0</v>
      </c>
      <c r="L7" s="9">
        <v>1</v>
      </c>
      <c r="M7" s="9" t="s">
        <v>544</v>
      </c>
      <c r="N7" s="7"/>
      <c r="O7" s="7">
        <v>1</v>
      </c>
      <c r="P7" s="7">
        <v>1</v>
      </c>
      <c r="Q7" s="7">
        <f t="shared" si="0"/>
        <v>0</v>
      </c>
      <c r="R7" s="7">
        <f t="shared" si="1"/>
        <v>7951</v>
      </c>
      <c r="S7" s="7">
        <f>K7*O7/P7</f>
        <v>0</v>
      </c>
      <c r="T7" s="7" t="s">
        <v>27</v>
      </c>
      <c r="U7" s="4"/>
    </row>
    <row r="8" spans="1:21" s="5" customFormat="1" x14ac:dyDescent="0.25">
      <c r="A8" s="9" t="s">
        <v>28</v>
      </c>
      <c r="B8" s="9" t="s">
        <v>29</v>
      </c>
      <c r="C8" s="9">
        <v>31</v>
      </c>
      <c r="D8" s="9" t="s">
        <v>11</v>
      </c>
      <c r="E8" s="9" t="s">
        <v>10</v>
      </c>
      <c r="F8" s="10">
        <v>1</v>
      </c>
      <c r="G8" s="9" t="s">
        <v>546</v>
      </c>
      <c r="H8" s="9">
        <f t="shared" si="2"/>
        <v>1</v>
      </c>
      <c r="I8" s="9">
        <v>0</v>
      </c>
      <c r="J8" s="9">
        <v>240</v>
      </c>
      <c r="K8" s="9">
        <v>0</v>
      </c>
      <c r="L8" s="9">
        <v>1</v>
      </c>
      <c r="M8" s="9" t="s">
        <v>544</v>
      </c>
      <c r="N8" s="7"/>
      <c r="O8" s="7">
        <v>1</v>
      </c>
      <c r="P8" s="7">
        <v>1</v>
      </c>
      <c r="Q8" s="7">
        <f t="shared" si="0"/>
        <v>0</v>
      </c>
      <c r="R8" s="7">
        <f t="shared" si="1"/>
        <v>240</v>
      </c>
      <c r="S8" s="7">
        <f>K8*O8/P8</f>
        <v>0</v>
      </c>
      <c r="T8" s="7" t="s">
        <v>30</v>
      </c>
      <c r="U8" s="4"/>
    </row>
    <row r="9" spans="1:21" s="5" customFormat="1" x14ac:dyDescent="0.25">
      <c r="A9" s="9" t="s">
        <v>31</v>
      </c>
      <c r="B9" s="9" t="s">
        <v>32</v>
      </c>
      <c r="C9" s="9">
        <v>32</v>
      </c>
      <c r="D9" s="9" t="s">
        <v>9</v>
      </c>
      <c r="E9" s="9" t="s">
        <v>10</v>
      </c>
      <c r="F9" s="10">
        <v>1</v>
      </c>
      <c r="G9" s="9" t="s">
        <v>546</v>
      </c>
      <c r="H9" s="9">
        <f t="shared" si="2"/>
        <v>1</v>
      </c>
      <c r="I9" s="9">
        <v>0</v>
      </c>
      <c r="J9" s="9">
        <v>65535</v>
      </c>
      <c r="K9" s="9">
        <v>0</v>
      </c>
      <c r="L9" s="9">
        <v>1</v>
      </c>
      <c r="M9" s="9" t="s">
        <v>544</v>
      </c>
      <c r="N9" s="7"/>
      <c r="O9" s="7">
        <v>1</v>
      </c>
      <c r="P9" s="7">
        <v>1</v>
      </c>
      <c r="Q9" s="7">
        <f t="shared" si="0"/>
        <v>0</v>
      </c>
      <c r="R9" s="7">
        <f t="shared" si="1"/>
        <v>65535</v>
      </c>
      <c r="S9" s="7">
        <f>K9*O9/P9</f>
        <v>0</v>
      </c>
      <c r="T9" s="7" t="s">
        <v>33</v>
      </c>
      <c r="U9" s="4"/>
    </row>
    <row r="10" spans="1:21" s="5" customFormat="1" x14ac:dyDescent="0.25">
      <c r="A10" s="9" t="s">
        <v>34</v>
      </c>
      <c r="B10" s="9" t="s">
        <v>39</v>
      </c>
      <c r="C10" s="9">
        <v>33</v>
      </c>
      <c r="D10" s="9" t="s">
        <v>9</v>
      </c>
      <c r="E10" s="9" t="s">
        <v>10</v>
      </c>
      <c r="F10" s="10">
        <v>1</v>
      </c>
      <c r="G10" s="9" t="s">
        <v>546</v>
      </c>
      <c r="H10" s="9">
        <f t="shared" si="2"/>
        <v>1</v>
      </c>
      <c r="I10" s="9">
        <v>0</v>
      </c>
      <c r="J10" s="9">
        <v>65535</v>
      </c>
      <c r="K10" s="9">
        <v>0</v>
      </c>
      <c r="L10" s="9">
        <v>1</v>
      </c>
      <c r="M10" s="9" t="s">
        <v>544</v>
      </c>
      <c r="N10" s="7"/>
      <c r="O10" s="7">
        <v>1</v>
      </c>
      <c r="P10" s="7">
        <v>1</v>
      </c>
      <c r="Q10" s="7">
        <f t="shared" si="0"/>
        <v>0</v>
      </c>
      <c r="R10" s="7">
        <f t="shared" si="1"/>
        <v>65535</v>
      </c>
      <c r="S10" s="7">
        <f>K10*O10/P10</f>
        <v>0</v>
      </c>
      <c r="T10" s="7" t="s">
        <v>46</v>
      </c>
      <c r="U10" s="4"/>
    </row>
    <row r="11" spans="1:21" s="5" customFormat="1" x14ac:dyDescent="0.25">
      <c r="A11" s="9" t="s">
        <v>35</v>
      </c>
      <c r="B11" s="9" t="s">
        <v>40</v>
      </c>
      <c r="C11" s="9">
        <v>34</v>
      </c>
      <c r="D11" s="9" t="s">
        <v>9</v>
      </c>
      <c r="E11" s="9" t="s">
        <v>45</v>
      </c>
      <c r="F11" s="10" t="s">
        <v>549</v>
      </c>
      <c r="G11" s="9" t="s">
        <v>546</v>
      </c>
      <c r="H11" s="9">
        <f t="shared" si="2"/>
        <v>1</v>
      </c>
      <c r="I11" s="9">
        <v>0</v>
      </c>
      <c r="J11" s="9">
        <v>120</v>
      </c>
      <c r="K11" s="9">
        <v>80</v>
      </c>
      <c r="L11" s="9">
        <v>1</v>
      </c>
      <c r="M11" s="9" t="s">
        <v>544</v>
      </c>
      <c r="N11" s="7"/>
      <c r="O11" s="7">
        <v>1</v>
      </c>
      <c r="P11" s="7">
        <v>1</v>
      </c>
      <c r="Q11" s="7">
        <f t="shared" si="0"/>
        <v>0</v>
      </c>
      <c r="R11" s="7">
        <f t="shared" si="1"/>
        <v>120</v>
      </c>
      <c r="S11" s="7">
        <f>K11*O11/P11</f>
        <v>80</v>
      </c>
      <c r="T11" s="7" t="s">
        <v>47</v>
      </c>
      <c r="U11" s="4"/>
    </row>
    <row r="12" spans="1:21" s="5" customFormat="1" x14ac:dyDescent="0.25">
      <c r="A12" s="9" t="s">
        <v>36</v>
      </c>
      <c r="B12" s="9" t="s">
        <v>41</v>
      </c>
      <c r="C12" s="9">
        <v>35</v>
      </c>
      <c r="D12" s="9" t="s">
        <v>9</v>
      </c>
      <c r="E12" s="9" t="s">
        <v>45</v>
      </c>
      <c r="F12" s="10" t="s">
        <v>549</v>
      </c>
      <c r="G12" s="9" t="s">
        <v>546</v>
      </c>
      <c r="H12" s="9">
        <f t="shared" si="2"/>
        <v>1</v>
      </c>
      <c r="I12" s="9">
        <v>0</v>
      </c>
      <c r="J12" s="9">
        <v>120</v>
      </c>
      <c r="K12" s="9">
        <v>60</v>
      </c>
      <c r="L12" s="9">
        <v>1</v>
      </c>
      <c r="M12" s="9" t="s">
        <v>544</v>
      </c>
      <c r="N12" s="7"/>
      <c r="O12" s="7">
        <v>1</v>
      </c>
      <c r="P12" s="7">
        <v>1</v>
      </c>
      <c r="Q12" s="7">
        <f t="shared" si="0"/>
        <v>0</v>
      </c>
      <c r="R12" s="7">
        <f t="shared" si="1"/>
        <v>120</v>
      </c>
      <c r="S12" s="7">
        <f>K12*O12/P12</f>
        <v>60</v>
      </c>
      <c r="T12" s="7" t="s">
        <v>48</v>
      </c>
      <c r="U12" s="4"/>
    </row>
    <row r="13" spans="1:21" s="5" customFormat="1" x14ac:dyDescent="0.25">
      <c r="A13" s="9" t="s">
        <v>37</v>
      </c>
      <c r="B13" s="9" t="s">
        <v>42</v>
      </c>
      <c r="C13" s="9">
        <v>36</v>
      </c>
      <c r="D13" s="9" t="s">
        <v>9</v>
      </c>
      <c r="E13" s="9" t="s">
        <v>44</v>
      </c>
      <c r="F13" s="10" t="s">
        <v>550</v>
      </c>
      <c r="G13" s="9" t="s">
        <v>546</v>
      </c>
      <c r="H13" s="9">
        <f t="shared" si="2"/>
        <v>1</v>
      </c>
      <c r="I13" s="9">
        <v>3</v>
      </c>
      <c r="J13" s="9">
        <v>60</v>
      </c>
      <c r="K13" s="9">
        <v>5</v>
      </c>
      <c r="L13" s="9">
        <v>1</v>
      </c>
      <c r="M13" s="9" t="s">
        <v>544</v>
      </c>
      <c r="N13" s="7"/>
      <c r="O13" s="7">
        <v>1</v>
      </c>
      <c r="P13" s="7">
        <v>1</v>
      </c>
      <c r="Q13" s="7">
        <f t="shared" si="0"/>
        <v>3</v>
      </c>
      <c r="R13" s="7">
        <f t="shared" si="1"/>
        <v>60</v>
      </c>
      <c r="S13" s="7">
        <f>K13*O13/P13</f>
        <v>5</v>
      </c>
      <c r="T13" s="7" t="s">
        <v>49</v>
      </c>
      <c r="U13" s="4"/>
    </row>
    <row r="14" spans="1:21" s="5" customFormat="1" x14ac:dyDescent="0.25">
      <c r="A14" s="9" t="s">
        <v>38</v>
      </c>
      <c r="B14" s="9" t="s">
        <v>43</v>
      </c>
      <c r="C14" s="9">
        <v>37</v>
      </c>
      <c r="D14" s="9" t="s">
        <v>9</v>
      </c>
      <c r="E14" s="9" t="s">
        <v>45</v>
      </c>
      <c r="F14" s="10" t="s">
        <v>549</v>
      </c>
      <c r="G14" s="9" t="s">
        <v>546</v>
      </c>
      <c r="H14" s="9">
        <f t="shared" si="2"/>
        <v>1</v>
      </c>
      <c r="I14" s="9">
        <v>80</v>
      </c>
      <c r="J14" s="9">
        <v>110</v>
      </c>
      <c r="K14" s="9">
        <v>105</v>
      </c>
      <c r="L14" s="9">
        <v>1</v>
      </c>
      <c r="M14" s="9" t="s">
        <v>544</v>
      </c>
      <c r="N14" s="7"/>
      <c r="O14" s="7">
        <v>1</v>
      </c>
      <c r="P14" s="7">
        <v>1</v>
      </c>
      <c r="Q14" s="7">
        <f t="shared" si="0"/>
        <v>80</v>
      </c>
      <c r="R14" s="7">
        <f t="shared" si="1"/>
        <v>110</v>
      </c>
      <c r="S14" s="7">
        <f>K14*O14/P14</f>
        <v>105</v>
      </c>
      <c r="T14" s="7" t="s">
        <v>50</v>
      </c>
      <c r="U14" s="4"/>
    </row>
    <row r="15" spans="1:21" s="5" customFormat="1" x14ac:dyDescent="0.25">
      <c r="A15" s="9" t="s">
        <v>104</v>
      </c>
      <c r="B15" s="9" t="s">
        <v>53</v>
      </c>
      <c r="C15" s="9">
        <v>90</v>
      </c>
      <c r="D15" s="9" t="s">
        <v>9</v>
      </c>
      <c r="E15" s="9" t="s">
        <v>10</v>
      </c>
      <c r="F15" s="10">
        <v>1</v>
      </c>
      <c r="G15" s="9" t="s">
        <v>546</v>
      </c>
      <c r="H15" s="9">
        <f t="shared" si="2"/>
        <v>1</v>
      </c>
      <c r="I15" s="9">
        <v>0</v>
      </c>
      <c r="J15" s="9">
        <v>32767</v>
      </c>
      <c r="K15" s="9">
        <v>0</v>
      </c>
      <c r="L15" s="9">
        <v>1</v>
      </c>
      <c r="M15" s="9" t="s">
        <v>544</v>
      </c>
      <c r="N15" s="7"/>
      <c r="O15" s="7">
        <v>1</v>
      </c>
      <c r="P15" s="7">
        <v>1</v>
      </c>
      <c r="Q15" s="7">
        <f t="shared" si="0"/>
        <v>0</v>
      </c>
      <c r="R15" s="7">
        <f t="shared" si="1"/>
        <v>32767</v>
      </c>
      <c r="S15" s="7">
        <f>K15*O15/P15</f>
        <v>0</v>
      </c>
      <c r="T15" s="7" t="s">
        <v>63</v>
      </c>
      <c r="U15" s="4"/>
    </row>
    <row r="16" spans="1:21" s="5" customFormat="1" x14ac:dyDescent="0.25">
      <c r="A16" s="9" t="s">
        <v>105</v>
      </c>
      <c r="B16" s="9" t="s">
        <v>54</v>
      </c>
      <c r="C16" s="9">
        <v>91</v>
      </c>
      <c r="D16" s="9" t="s">
        <v>11</v>
      </c>
      <c r="E16" s="9" t="s">
        <v>10</v>
      </c>
      <c r="F16" s="10">
        <v>1</v>
      </c>
      <c r="G16" s="9" t="s">
        <v>546</v>
      </c>
      <c r="H16" s="9">
        <f t="shared" si="2"/>
        <v>1</v>
      </c>
      <c r="I16" s="9">
        <v>0</v>
      </c>
      <c r="J16" s="9">
        <v>65535</v>
      </c>
      <c r="K16" s="9">
        <v>0</v>
      </c>
      <c r="L16" s="9">
        <v>1</v>
      </c>
      <c r="M16" s="9" t="s">
        <v>544</v>
      </c>
      <c r="N16" s="7"/>
      <c r="O16" s="7">
        <v>1</v>
      </c>
      <c r="P16" s="7">
        <v>1</v>
      </c>
      <c r="Q16" s="7">
        <f t="shared" si="0"/>
        <v>0</v>
      </c>
      <c r="R16" s="7">
        <f t="shared" si="1"/>
        <v>65535</v>
      </c>
      <c r="S16" s="7">
        <f>K16*O16/P16</f>
        <v>0</v>
      </c>
      <c r="T16" s="8" t="s">
        <v>64</v>
      </c>
      <c r="U16" s="4"/>
    </row>
    <row r="17" spans="1:21" s="5" customFormat="1" x14ac:dyDescent="0.25">
      <c r="A17" s="9" t="s">
        <v>106</v>
      </c>
      <c r="B17" s="9" t="s">
        <v>81</v>
      </c>
      <c r="C17" s="9">
        <v>92</v>
      </c>
      <c r="D17" s="9" t="s">
        <v>9</v>
      </c>
      <c r="E17" s="9" t="s">
        <v>65</v>
      </c>
      <c r="F17" s="10" t="s">
        <v>551</v>
      </c>
      <c r="G17" s="9" t="s">
        <v>546</v>
      </c>
      <c r="H17" s="9">
        <f t="shared" si="2"/>
        <v>1</v>
      </c>
      <c r="I17" s="9">
        <v>1</v>
      </c>
      <c r="J17" s="9">
        <v>500</v>
      </c>
      <c r="K17" s="9">
        <v>25</v>
      </c>
      <c r="L17" s="9">
        <v>1</v>
      </c>
      <c r="M17" s="9" t="s">
        <v>544</v>
      </c>
      <c r="N17" s="7"/>
      <c r="O17" s="7">
        <v>1</v>
      </c>
      <c r="P17" s="7">
        <v>1</v>
      </c>
      <c r="Q17" s="7">
        <f t="shared" si="0"/>
        <v>1</v>
      </c>
      <c r="R17" s="7">
        <f t="shared" si="1"/>
        <v>500</v>
      </c>
      <c r="S17" s="7">
        <f>K17*O17/P17</f>
        <v>25</v>
      </c>
      <c r="T17" s="7" t="s">
        <v>66</v>
      </c>
      <c r="U17" s="4"/>
    </row>
    <row r="18" spans="1:21" s="5" customFormat="1" x14ac:dyDescent="0.25">
      <c r="A18" s="9" t="s">
        <v>107</v>
      </c>
      <c r="B18" s="9" t="s">
        <v>82</v>
      </c>
      <c r="C18" s="9">
        <v>93</v>
      </c>
      <c r="D18" s="9" t="s">
        <v>11</v>
      </c>
      <c r="E18" s="9" t="s">
        <v>65</v>
      </c>
      <c r="F18" s="10" t="s">
        <v>551</v>
      </c>
      <c r="G18" s="9" t="s">
        <v>546</v>
      </c>
      <c r="H18" s="9">
        <f t="shared" si="2"/>
        <v>3.125E-2</v>
      </c>
      <c r="I18" s="9">
        <v>0</v>
      </c>
      <c r="J18" s="9">
        <v>16000</v>
      </c>
      <c r="K18" s="9">
        <v>0</v>
      </c>
      <c r="L18" s="9">
        <v>1</v>
      </c>
      <c r="M18" s="9" t="s">
        <v>544</v>
      </c>
      <c r="N18" s="7"/>
      <c r="O18" s="7">
        <v>500</v>
      </c>
      <c r="P18" s="7">
        <v>16000</v>
      </c>
      <c r="Q18" s="7">
        <f t="shared" si="0"/>
        <v>0</v>
      </c>
      <c r="R18" s="7">
        <f t="shared" si="1"/>
        <v>500</v>
      </c>
      <c r="S18" s="7">
        <f>K18*O18/P18</f>
        <v>0</v>
      </c>
      <c r="T18" s="7" t="s">
        <v>67</v>
      </c>
      <c r="U18" s="4"/>
    </row>
    <row r="19" spans="1:21" s="5" customFormat="1" x14ac:dyDescent="0.25">
      <c r="A19" s="9" t="s">
        <v>108</v>
      </c>
      <c r="B19" s="9" t="s">
        <v>55</v>
      </c>
      <c r="C19" s="9">
        <v>94</v>
      </c>
      <c r="D19" s="9" t="s">
        <v>9</v>
      </c>
      <c r="E19" s="9" t="s">
        <v>65</v>
      </c>
      <c r="F19" s="10" t="s">
        <v>551</v>
      </c>
      <c r="G19" s="9" t="s">
        <v>546</v>
      </c>
      <c r="H19" s="9">
        <f t="shared" si="2"/>
        <v>1</v>
      </c>
      <c r="I19" s="9">
        <v>1</v>
      </c>
      <c r="J19" s="9">
        <v>500</v>
      </c>
      <c r="K19" s="9">
        <v>25</v>
      </c>
      <c r="L19" s="9">
        <v>1</v>
      </c>
      <c r="M19" s="9" t="s">
        <v>544</v>
      </c>
      <c r="N19" s="7"/>
      <c r="O19" s="7">
        <v>1</v>
      </c>
      <c r="P19" s="7">
        <v>1</v>
      </c>
      <c r="Q19" s="7">
        <f t="shared" si="0"/>
        <v>1</v>
      </c>
      <c r="R19" s="7">
        <f t="shared" si="1"/>
        <v>500</v>
      </c>
      <c r="S19" s="7">
        <f>K19*O19/P19</f>
        <v>25</v>
      </c>
      <c r="T19" s="7" t="s">
        <v>68</v>
      </c>
      <c r="U19" s="4"/>
    </row>
    <row r="20" spans="1:21" s="5" customFormat="1" x14ac:dyDescent="0.25">
      <c r="A20" s="9" t="s">
        <v>109</v>
      </c>
      <c r="B20" s="9" t="s">
        <v>83</v>
      </c>
      <c r="C20" s="9">
        <v>95</v>
      </c>
      <c r="D20" s="9" t="s">
        <v>9</v>
      </c>
      <c r="E20" s="9" t="s">
        <v>65</v>
      </c>
      <c r="F20" s="10" t="s">
        <v>551</v>
      </c>
      <c r="G20" s="9" t="s">
        <v>546</v>
      </c>
      <c r="H20" s="9">
        <f t="shared" si="2"/>
        <v>1</v>
      </c>
      <c r="I20" s="9">
        <v>1</v>
      </c>
      <c r="J20" s="9">
        <v>500</v>
      </c>
      <c r="K20" s="9">
        <v>200</v>
      </c>
      <c r="L20" s="9">
        <v>1</v>
      </c>
      <c r="M20" s="9" t="s">
        <v>544</v>
      </c>
      <c r="N20" s="7"/>
      <c r="O20" s="7">
        <v>1</v>
      </c>
      <c r="P20" s="7">
        <v>1</v>
      </c>
      <c r="Q20" s="7">
        <f t="shared" si="0"/>
        <v>1</v>
      </c>
      <c r="R20" s="7">
        <f t="shared" si="1"/>
        <v>500</v>
      </c>
      <c r="S20" s="7">
        <f>K20*O20/P20</f>
        <v>200</v>
      </c>
      <c r="T20" s="7" t="s">
        <v>69</v>
      </c>
      <c r="U20" s="4"/>
    </row>
    <row r="21" spans="1:21" s="5" customFormat="1" x14ac:dyDescent="0.25">
      <c r="A21" s="9" t="s">
        <v>110</v>
      </c>
      <c r="B21" s="9" t="s">
        <v>56</v>
      </c>
      <c r="C21" s="9">
        <v>96</v>
      </c>
      <c r="D21" s="9" t="s">
        <v>9</v>
      </c>
      <c r="E21" s="9" t="s">
        <v>44</v>
      </c>
      <c r="F21" s="10" t="s">
        <v>550</v>
      </c>
      <c r="G21" s="9" t="s">
        <v>546</v>
      </c>
      <c r="H21" s="9">
        <f t="shared" si="2"/>
        <v>0.25</v>
      </c>
      <c r="I21" s="9">
        <v>1</v>
      </c>
      <c r="J21" s="9">
        <v>50</v>
      </c>
      <c r="K21" s="9">
        <v>1</v>
      </c>
      <c r="L21" s="9">
        <v>1</v>
      </c>
      <c r="M21" s="9" t="s">
        <v>544</v>
      </c>
      <c r="N21" s="7"/>
      <c r="O21" s="7">
        <v>1</v>
      </c>
      <c r="P21" s="7">
        <v>4</v>
      </c>
      <c r="Q21" s="7">
        <f t="shared" si="0"/>
        <v>0.25</v>
      </c>
      <c r="R21" s="7">
        <f t="shared" si="1"/>
        <v>12.5</v>
      </c>
      <c r="S21" s="7">
        <f>K21*O21/P21</f>
        <v>0.25</v>
      </c>
      <c r="T21" s="8" t="s">
        <v>70</v>
      </c>
      <c r="U21" s="4"/>
    </row>
    <row r="22" spans="1:21" s="5" customFormat="1" x14ac:dyDescent="0.25">
      <c r="A22" s="9" t="s">
        <v>111</v>
      </c>
      <c r="B22" s="9" t="s">
        <v>57</v>
      </c>
      <c r="C22" s="9">
        <v>97</v>
      </c>
      <c r="D22" s="9" t="s">
        <v>9</v>
      </c>
      <c r="E22" s="9" t="s">
        <v>44</v>
      </c>
      <c r="F22" s="10" t="s">
        <v>550</v>
      </c>
      <c r="G22" s="9" t="s">
        <v>546</v>
      </c>
      <c r="H22" s="9">
        <f t="shared" si="2"/>
        <v>0.25</v>
      </c>
      <c r="I22" s="9">
        <v>1</v>
      </c>
      <c r="J22" s="9">
        <v>50</v>
      </c>
      <c r="K22" s="9">
        <v>1</v>
      </c>
      <c r="L22" s="9">
        <v>1</v>
      </c>
      <c r="M22" s="9" t="s">
        <v>544</v>
      </c>
      <c r="N22" s="7"/>
      <c r="O22" s="7">
        <v>1</v>
      </c>
      <c r="P22" s="7">
        <v>4</v>
      </c>
      <c r="Q22" s="7">
        <f t="shared" si="0"/>
        <v>0.25</v>
      </c>
      <c r="R22" s="7">
        <f t="shared" si="1"/>
        <v>12.5</v>
      </c>
      <c r="S22" s="7">
        <v>1</v>
      </c>
      <c r="T22" s="7" t="s">
        <v>71</v>
      </c>
      <c r="U22" s="4"/>
    </row>
    <row r="23" spans="1:21" s="5" customFormat="1" x14ac:dyDescent="0.25">
      <c r="A23" s="9" t="s">
        <v>112</v>
      </c>
      <c r="B23" s="9" t="s">
        <v>58</v>
      </c>
      <c r="C23" s="9">
        <v>98</v>
      </c>
      <c r="D23" s="9" t="s">
        <v>9</v>
      </c>
      <c r="E23" s="9" t="s">
        <v>44</v>
      </c>
      <c r="F23" s="10" t="s">
        <v>550</v>
      </c>
      <c r="G23" s="9" t="s">
        <v>546</v>
      </c>
      <c r="H23" s="9">
        <f t="shared" si="2"/>
        <v>0.25</v>
      </c>
      <c r="I23" s="9">
        <v>1</v>
      </c>
      <c r="J23" s="9">
        <v>50</v>
      </c>
      <c r="K23" s="9">
        <v>1</v>
      </c>
      <c r="L23" s="9">
        <v>1</v>
      </c>
      <c r="M23" s="9" t="s">
        <v>544</v>
      </c>
      <c r="N23" s="7"/>
      <c r="O23" s="7">
        <v>1</v>
      </c>
      <c r="P23" s="7">
        <v>4</v>
      </c>
      <c r="Q23" s="7">
        <f t="shared" si="0"/>
        <v>0.25</v>
      </c>
      <c r="R23" s="7">
        <f t="shared" si="1"/>
        <v>12.5</v>
      </c>
      <c r="S23" s="7">
        <v>1</v>
      </c>
      <c r="T23" s="7" t="s">
        <v>72</v>
      </c>
      <c r="U23" s="4"/>
    </row>
    <row r="24" spans="1:21" s="5" customFormat="1" x14ac:dyDescent="0.25">
      <c r="A24" s="9" t="s">
        <v>113</v>
      </c>
      <c r="B24" s="9" t="s">
        <v>59</v>
      </c>
      <c r="C24" s="9">
        <v>99</v>
      </c>
      <c r="D24" s="9" t="s">
        <v>9</v>
      </c>
      <c r="E24" s="9" t="s">
        <v>44</v>
      </c>
      <c r="F24" s="10" t="s">
        <v>550</v>
      </c>
      <c r="G24" s="9" t="s">
        <v>546</v>
      </c>
      <c r="H24" s="9">
        <f t="shared" si="2"/>
        <v>0.25</v>
      </c>
      <c r="I24" s="9">
        <v>1</v>
      </c>
      <c r="J24" s="9">
        <v>50</v>
      </c>
      <c r="K24" s="9">
        <v>1</v>
      </c>
      <c r="L24" s="9">
        <v>1</v>
      </c>
      <c r="M24" s="9" t="s">
        <v>544</v>
      </c>
      <c r="N24" s="7"/>
      <c r="O24" s="7">
        <v>1</v>
      </c>
      <c r="P24" s="7">
        <v>4</v>
      </c>
      <c r="Q24" s="7">
        <f t="shared" si="0"/>
        <v>0.25</v>
      </c>
      <c r="R24" s="7">
        <f t="shared" si="1"/>
        <v>12.5</v>
      </c>
      <c r="S24" s="7">
        <v>1</v>
      </c>
      <c r="T24" s="7" t="s">
        <v>73</v>
      </c>
      <c r="U24" s="4"/>
    </row>
    <row r="25" spans="1:21" s="5" customFormat="1" x14ac:dyDescent="0.25">
      <c r="A25" s="9" t="s">
        <v>114</v>
      </c>
      <c r="B25" s="11" t="s">
        <v>88</v>
      </c>
      <c r="C25" s="9">
        <v>100</v>
      </c>
      <c r="D25" s="9" t="s">
        <v>9</v>
      </c>
      <c r="E25" s="9" t="s">
        <v>65</v>
      </c>
      <c r="F25" s="10" t="s">
        <v>551</v>
      </c>
      <c r="G25" s="9" t="s">
        <v>546</v>
      </c>
      <c r="H25" s="9">
        <f t="shared" si="2"/>
        <v>500</v>
      </c>
      <c r="I25" s="9">
        <v>4</v>
      </c>
      <c r="J25" s="9">
        <v>12</v>
      </c>
      <c r="K25" s="9">
        <v>10</v>
      </c>
      <c r="L25" s="9">
        <v>1</v>
      </c>
      <c r="M25" s="9" t="s">
        <v>544</v>
      </c>
      <c r="N25" s="7"/>
      <c r="O25" s="7">
        <v>6000</v>
      </c>
      <c r="P25" s="7">
        <v>12</v>
      </c>
      <c r="Q25" s="7">
        <f t="shared" si="0"/>
        <v>2000</v>
      </c>
      <c r="R25" s="7">
        <f t="shared" si="1"/>
        <v>6000</v>
      </c>
      <c r="S25" s="7">
        <f>K25*O25/P25</f>
        <v>5000</v>
      </c>
      <c r="T25" s="7" t="s">
        <v>75</v>
      </c>
      <c r="U25" s="4"/>
    </row>
    <row r="26" spans="1:21" s="5" customFormat="1" x14ac:dyDescent="0.25">
      <c r="A26" s="9" t="s">
        <v>115</v>
      </c>
      <c r="B26" s="9" t="s">
        <v>60</v>
      </c>
      <c r="C26" s="9">
        <v>101</v>
      </c>
      <c r="D26" s="9" t="s">
        <v>11</v>
      </c>
      <c r="E26" s="9" t="s">
        <v>10</v>
      </c>
      <c r="F26" s="10">
        <v>1</v>
      </c>
      <c r="G26" s="9" t="s">
        <v>546</v>
      </c>
      <c r="H26" s="9">
        <f t="shared" si="2"/>
        <v>1</v>
      </c>
      <c r="I26" s="9">
        <v>0</v>
      </c>
      <c r="J26" s="9">
        <v>6</v>
      </c>
      <c r="K26" s="9">
        <v>0</v>
      </c>
      <c r="L26" s="9">
        <v>1</v>
      </c>
      <c r="M26" s="9" t="s">
        <v>544</v>
      </c>
      <c r="N26" s="7"/>
      <c r="O26" s="7">
        <v>1</v>
      </c>
      <c r="P26" s="7">
        <v>1</v>
      </c>
      <c r="Q26" s="7">
        <f t="shared" si="0"/>
        <v>0</v>
      </c>
      <c r="R26" s="7">
        <f t="shared" si="1"/>
        <v>6</v>
      </c>
      <c r="S26" s="7">
        <f>K26*O26/P26</f>
        <v>0</v>
      </c>
      <c r="T26" s="7" t="s">
        <v>74</v>
      </c>
      <c r="U26" s="4"/>
    </row>
    <row r="27" spans="1:21" s="5" customFormat="1" x14ac:dyDescent="0.25">
      <c r="A27" s="9" t="s">
        <v>116</v>
      </c>
      <c r="B27" s="9" t="s">
        <v>61</v>
      </c>
      <c r="C27" s="9">
        <v>102</v>
      </c>
      <c r="D27" s="9" t="s">
        <v>9</v>
      </c>
      <c r="E27" s="9" t="s">
        <v>13</v>
      </c>
      <c r="F27" s="10" t="s">
        <v>548</v>
      </c>
      <c r="G27" s="9" t="s">
        <v>546</v>
      </c>
      <c r="H27" s="9">
        <f t="shared" si="2"/>
        <v>1</v>
      </c>
      <c r="I27" s="9">
        <v>0</v>
      </c>
      <c r="J27" s="9">
        <v>500</v>
      </c>
      <c r="K27" s="9">
        <v>10</v>
      </c>
      <c r="L27" s="9">
        <v>1</v>
      </c>
      <c r="M27" s="9" t="s">
        <v>544</v>
      </c>
      <c r="N27" s="7"/>
      <c r="O27" s="7">
        <v>1</v>
      </c>
      <c r="P27" s="7">
        <v>1</v>
      </c>
      <c r="Q27" s="7">
        <f t="shared" si="0"/>
        <v>0</v>
      </c>
      <c r="R27" s="7">
        <f t="shared" si="1"/>
        <v>500</v>
      </c>
      <c r="S27" s="7">
        <f>K27*O27/P27</f>
        <v>10</v>
      </c>
      <c r="T27" s="8" t="s">
        <v>76</v>
      </c>
      <c r="U27" s="4"/>
    </row>
    <row r="28" spans="1:21" s="5" customFormat="1" x14ac:dyDescent="0.25">
      <c r="A28" s="9" t="s">
        <v>117</v>
      </c>
      <c r="B28" s="9" t="s">
        <v>62</v>
      </c>
      <c r="C28" s="9">
        <v>103</v>
      </c>
      <c r="D28" s="9" t="s">
        <v>9</v>
      </c>
      <c r="E28" s="9" t="s">
        <v>65</v>
      </c>
      <c r="F28" s="10" t="s">
        <v>551</v>
      </c>
      <c r="G28" s="9" t="s">
        <v>546</v>
      </c>
      <c r="H28" s="9">
        <f t="shared" si="2"/>
        <v>1</v>
      </c>
      <c r="I28" s="9">
        <v>0</v>
      </c>
      <c r="J28" s="9">
        <v>100</v>
      </c>
      <c r="K28" s="9">
        <v>45</v>
      </c>
      <c r="L28" s="9">
        <v>1</v>
      </c>
      <c r="M28" s="9" t="s">
        <v>544</v>
      </c>
      <c r="N28" s="7"/>
      <c r="O28" s="7">
        <v>1</v>
      </c>
      <c r="P28" s="7">
        <v>1</v>
      </c>
      <c r="Q28" s="7">
        <f t="shared" si="0"/>
        <v>0</v>
      </c>
      <c r="R28" s="7">
        <f t="shared" si="1"/>
        <v>100</v>
      </c>
      <c r="S28" s="7">
        <f>K28*O28/P28</f>
        <v>45</v>
      </c>
      <c r="T28" s="7" t="s">
        <v>77</v>
      </c>
      <c r="U28" s="4"/>
    </row>
    <row r="29" spans="1:21" s="5" customFormat="1" x14ac:dyDescent="0.25">
      <c r="A29" s="9" t="s">
        <v>118</v>
      </c>
      <c r="B29" s="9" t="s">
        <v>78</v>
      </c>
      <c r="C29" s="9">
        <v>104</v>
      </c>
      <c r="D29" s="9" t="s">
        <v>11</v>
      </c>
      <c r="E29" s="9" t="s">
        <v>13</v>
      </c>
      <c r="F29" s="10" t="s">
        <v>548</v>
      </c>
      <c r="G29" s="9" t="s">
        <v>546</v>
      </c>
      <c r="H29" s="9">
        <f t="shared" si="2"/>
        <v>1</v>
      </c>
      <c r="I29" s="9">
        <v>342</v>
      </c>
      <c r="J29" s="9">
        <v>342</v>
      </c>
      <c r="K29" s="9">
        <v>342</v>
      </c>
      <c r="L29" s="9">
        <v>1</v>
      </c>
      <c r="M29" s="9" t="s">
        <v>544</v>
      </c>
      <c r="N29" s="7"/>
      <c r="O29" s="7">
        <v>1</v>
      </c>
      <c r="P29" s="7">
        <v>1</v>
      </c>
      <c r="Q29" s="7">
        <f t="shared" si="0"/>
        <v>342</v>
      </c>
      <c r="R29" s="7">
        <f t="shared" si="1"/>
        <v>342</v>
      </c>
      <c r="S29" s="7">
        <f>K29*O29/P29</f>
        <v>342</v>
      </c>
      <c r="T29" s="7" t="s">
        <v>84</v>
      </c>
      <c r="U29" s="4"/>
    </row>
    <row r="30" spans="1:21" s="5" customFormat="1" x14ac:dyDescent="0.25">
      <c r="A30" s="9" t="s">
        <v>119</v>
      </c>
      <c r="B30" s="9" t="s">
        <v>79</v>
      </c>
      <c r="C30" s="9">
        <v>105</v>
      </c>
      <c r="D30" s="9" t="s">
        <v>9</v>
      </c>
      <c r="E30" s="9" t="s">
        <v>10</v>
      </c>
      <c r="F30" s="10">
        <v>1</v>
      </c>
      <c r="G30" s="9" t="s">
        <v>546</v>
      </c>
      <c r="H30" s="9">
        <f t="shared" si="2"/>
        <v>1</v>
      </c>
      <c r="I30" s="9">
        <v>-8</v>
      </c>
      <c r="J30" s="9">
        <v>16</v>
      </c>
      <c r="K30" s="9">
        <v>0</v>
      </c>
      <c r="L30" s="9">
        <v>1</v>
      </c>
      <c r="M30" s="9" t="s">
        <v>544</v>
      </c>
      <c r="N30" s="7"/>
      <c r="O30" s="7">
        <v>1</v>
      </c>
      <c r="P30" s="7">
        <v>1</v>
      </c>
      <c r="Q30" s="7">
        <f t="shared" si="0"/>
        <v>-8</v>
      </c>
      <c r="R30" s="7">
        <f t="shared" si="1"/>
        <v>16</v>
      </c>
      <c r="S30" s="7">
        <f>K30*O30/P30</f>
        <v>0</v>
      </c>
      <c r="T30" s="7" t="s">
        <v>85</v>
      </c>
      <c r="U30" s="4"/>
    </row>
    <row r="31" spans="1:21" s="5" customFormat="1" x14ac:dyDescent="0.25">
      <c r="A31" s="9" t="s">
        <v>121</v>
      </c>
      <c r="B31" s="9" t="s">
        <v>80</v>
      </c>
      <c r="C31" s="9">
        <v>106</v>
      </c>
      <c r="D31" s="9" t="s">
        <v>9</v>
      </c>
      <c r="E31" s="9" t="s">
        <v>10</v>
      </c>
      <c r="F31" s="10">
        <v>1</v>
      </c>
      <c r="G31" s="9" t="s">
        <v>546</v>
      </c>
      <c r="H31" s="9">
        <f t="shared" si="2"/>
        <v>1</v>
      </c>
      <c r="I31" s="9">
        <v>0</v>
      </c>
      <c r="J31" s="9">
        <v>20</v>
      </c>
      <c r="K31" s="9">
        <v>9</v>
      </c>
      <c r="L31" s="9">
        <v>1</v>
      </c>
      <c r="M31" s="9" t="s">
        <v>544</v>
      </c>
      <c r="N31" s="7"/>
      <c r="O31" s="7">
        <v>1</v>
      </c>
      <c r="P31" s="7">
        <v>1</v>
      </c>
      <c r="Q31" s="7">
        <f t="shared" si="0"/>
        <v>0</v>
      </c>
      <c r="R31" s="7">
        <f t="shared" si="1"/>
        <v>20</v>
      </c>
      <c r="S31" s="7">
        <f>K31*O31/P31</f>
        <v>9</v>
      </c>
      <c r="T31" s="7" t="s">
        <v>86</v>
      </c>
      <c r="U31" s="4"/>
    </row>
    <row r="32" spans="1:21" s="5" customFormat="1" x14ac:dyDescent="0.25">
      <c r="A32" s="9" t="s">
        <v>122</v>
      </c>
      <c r="B32" s="9" t="s">
        <v>87</v>
      </c>
      <c r="C32" s="9">
        <v>107</v>
      </c>
      <c r="D32" s="9" t="s">
        <v>9</v>
      </c>
      <c r="E32" s="9" t="s">
        <v>65</v>
      </c>
      <c r="F32" s="10" t="s">
        <v>551</v>
      </c>
      <c r="G32" s="9" t="s">
        <v>546</v>
      </c>
      <c r="H32" s="9">
        <f t="shared" si="2"/>
        <v>1</v>
      </c>
      <c r="I32" s="9">
        <v>20</v>
      </c>
      <c r="J32" s="9">
        <v>500</v>
      </c>
      <c r="K32" s="9">
        <v>200</v>
      </c>
      <c r="L32" s="9">
        <v>1</v>
      </c>
      <c r="M32" s="9" t="s">
        <v>544</v>
      </c>
      <c r="N32" s="7"/>
      <c r="O32" s="7">
        <v>1</v>
      </c>
      <c r="P32" s="7">
        <v>1</v>
      </c>
      <c r="Q32" s="7">
        <f t="shared" si="0"/>
        <v>20</v>
      </c>
      <c r="R32" s="7">
        <f t="shared" si="1"/>
        <v>500</v>
      </c>
      <c r="S32" s="7">
        <f>K32*O32/P32</f>
        <v>200</v>
      </c>
      <c r="T32" s="7" t="s">
        <v>100</v>
      </c>
      <c r="U32" s="4"/>
    </row>
    <row r="33" spans="1:21" s="5" customFormat="1" x14ac:dyDescent="0.25">
      <c r="A33" s="9" t="s">
        <v>123</v>
      </c>
      <c r="B33" s="9" t="s">
        <v>98</v>
      </c>
      <c r="C33" s="9">
        <v>108</v>
      </c>
      <c r="D33" s="9" t="s">
        <v>9</v>
      </c>
      <c r="E33" s="9" t="s">
        <v>99</v>
      </c>
      <c r="F33" s="10" t="s">
        <v>555</v>
      </c>
      <c r="G33" s="9" t="s">
        <v>546</v>
      </c>
      <c r="H33" s="9">
        <f t="shared" si="2"/>
        <v>1</v>
      </c>
      <c r="I33" s="9">
        <v>10</v>
      </c>
      <c r="J33" s="9">
        <v>250</v>
      </c>
      <c r="K33" s="9">
        <v>100</v>
      </c>
      <c r="L33" s="9">
        <v>1</v>
      </c>
      <c r="M33" s="9" t="s">
        <v>544</v>
      </c>
      <c r="N33" s="7"/>
      <c r="O33" s="7">
        <v>1</v>
      </c>
      <c r="P33" s="7">
        <v>1</v>
      </c>
      <c r="Q33" s="7">
        <f t="shared" si="0"/>
        <v>10</v>
      </c>
      <c r="R33" s="7">
        <f t="shared" si="1"/>
        <v>250</v>
      </c>
      <c r="S33" s="7">
        <f>K33*O33/P33</f>
        <v>100</v>
      </c>
      <c r="T33" s="7" t="s">
        <v>101</v>
      </c>
      <c r="U33" s="4"/>
    </row>
    <row r="34" spans="1:21" s="5" customFormat="1" x14ac:dyDescent="0.25">
      <c r="A34" s="9" t="s">
        <v>124</v>
      </c>
      <c r="B34" s="9" t="s">
        <v>97</v>
      </c>
      <c r="C34" s="9">
        <v>109</v>
      </c>
      <c r="D34" s="9" t="s">
        <v>9</v>
      </c>
      <c r="E34" s="9" t="s">
        <v>13</v>
      </c>
      <c r="F34" s="10" t="s">
        <v>548</v>
      </c>
      <c r="G34" s="9" t="s">
        <v>546</v>
      </c>
      <c r="H34" s="9">
        <f t="shared" si="2"/>
        <v>1</v>
      </c>
      <c r="I34" s="9">
        <v>10</v>
      </c>
      <c r="J34" s="9">
        <v>500</v>
      </c>
      <c r="K34" s="9">
        <v>180</v>
      </c>
      <c r="L34" s="9">
        <v>1</v>
      </c>
      <c r="M34" s="9" t="s">
        <v>544</v>
      </c>
      <c r="N34" s="7"/>
      <c r="O34" s="7">
        <v>1</v>
      </c>
      <c r="P34" s="7">
        <v>1</v>
      </c>
      <c r="Q34" s="7">
        <f t="shared" si="0"/>
        <v>10</v>
      </c>
      <c r="R34" s="7">
        <f t="shared" si="1"/>
        <v>500</v>
      </c>
      <c r="S34" s="7">
        <f>K34*O34/P34</f>
        <v>180</v>
      </c>
      <c r="T34" s="7" t="s">
        <v>102</v>
      </c>
      <c r="U34" s="4"/>
    </row>
    <row r="35" spans="1:21" s="5" customFormat="1" x14ac:dyDescent="0.25">
      <c r="A35" s="9" t="s">
        <v>125</v>
      </c>
      <c r="B35" s="9" t="s">
        <v>89</v>
      </c>
      <c r="C35" s="9">
        <v>110</v>
      </c>
      <c r="D35" s="9" t="s">
        <v>9</v>
      </c>
      <c r="E35" s="9" t="s">
        <v>10</v>
      </c>
      <c r="F35" s="10">
        <v>1</v>
      </c>
      <c r="G35" s="9" t="s">
        <v>546</v>
      </c>
      <c r="H35" s="9">
        <f t="shared" si="2"/>
        <v>1</v>
      </c>
      <c r="I35" s="9">
        <v>0</v>
      </c>
      <c r="J35" s="11">
        <v>65535</v>
      </c>
      <c r="K35" s="11">
        <v>1</v>
      </c>
      <c r="L35" s="9">
        <v>1</v>
      </c>
      <c r="M35" s="9" t="s">
        <v>544</v>
      </c>
      <c r="N35" s="7"/>
      <c r="O35" s="7">
        <v>1</v>
      </c>
      <c r="P35" s="7">
        <v>1</v>
      </c>
      <c r="Q35" s="7">
        <f t="shared" si="0"/>
        <v>0</v>
      </c>
      <c r="R35" s="7">
        <f t="shared" si="1"/>
        <v>65535</v>
      </c>
      <c r="S35" s="7">
        <f>K35*O35/P35</f>
        <v>1</v>
      </c>
      <c r="T35" s="7" t="s">
        <v>103</v>
      </c>
      <c r="U35" s="4"/>
    </row>
    <row r="36" spans="1:21" s="5" customFormat="1" x14ac:dyDescent="0.25">
      <c r="A36" s="9" t="s">
        <v>126</v>
      </c>
      <c r="B36" s="9" t="s">
        <v>90</v>
      </c>
      <c r="C36" s="9">
        <v>111</v>
      </c>
      <c r="D36" s="9" t="s">
        <v>9</v>
      </c>
      <c r="E36" s="9" t="s">
        <v>10</v>
      </c>
      <c r="F36" s="10">
        <v>1</v>
      </c>
      <c r="G36" s="9" t="s">
        <v>546</v>
      </c>
      <c r="H36" s="9">
        <f t="shared" si="2"/>
        <v>1</v>
      </c>
      <c r="I36" s="9">
        <v>0</v>
      </c>
      <c r="J36" s="11">
        <v>65535</v>
      </c>
      <c r="K36" s="11">
        <v>111</v>
      </c>
      <c r="L36" s="9">
        <v>1</v>
      </c>
      <c r="M36" s="9" t="s">
        <v>544</v>
      </c>
      <c r="N36" s="7"/>
      <c r="O36" s="7">
        <v>1</v>
      </c>
      <c r="P36" s="7">
        <v>1</v>
      </c>
      <c r="Q36" s="7">
        <f t="shared" si="0"/>
        <v>0</v>
      </c>
      <c r="R36" s="7">
        <f t="shared" si="1"/>
        <v>65535</v>
      </c>
      <c r="S36" s="7">
        <f>K36*O36/P36</f>
        <v>111</v>
      </c>
      <c r="T36" s="7" t="s">
        <v>103</v>
      </c>
      <c r="U36" s="4"/>
    </row>
    <row r="37" spans="1:21" s="5" customFormat="1" x14ac:dyDescent="0.25">
      <c r="A37" s="9" t="s">
        <v>120</v>
      </c>
      <c r="B37" s="9" t="s">
        <v>91</v>
      </c>
      <c r="C37" s="9">
        <v>112</v>
      </c>
      <c r="D37" s="11" t="s">
        <v>9</v>
      </c>
      <c r="E37" s="9" t="s">
        <v>10</v>
      </c>
      <c r="F37" s="10">
        <v>1</v>
      </c>
      <c r="G37" s="9" t="s">
        <v>546</v>
      </c>
      <c r="H37" s="9">
        <f t="shared" si="2"/>
        <v>1</v>
      </c>
      <c r="I37" s="9">
        <v>0</v>
      </c>
      <c r="J37" s="11">
        <v>65535</v>
      </c>
      <c r="K37" s="11">
        <v>222</v>
      </c>
      <c r="L37" s="9">
        <v>1</v>
      </c>
      <c r="M37" s="9" t="s">
        <v>544</v>
      </c>
      <c r="N37" s="7"/>
      <c r="O37" s="7">
        <v>1</v>
      </c>
      <c r="P37" s="7">
        <v>1</v>
      </c>
      <c r="Q37" s="7">
        <f t="shared" si="0"/>
        <v>0</v>
      </c>
      <c r="R37" s="7">
        <f t="shared" si="1"/>
        <v>65535</v>
      </c>
      <c r="S37" s="7">
        <f>K37*O37/P37</f>
        <v>222</v>
      </c>
      <c r="T37" s="7" t="s">
        <v>103</v>
      </c>
      <c r="U37" s="4"/>
    </row>
    <row r="38" spans="1:21" s="5" customFormat="1" x14ac:dyDescent="0.25">
      <c r="A38" s="9" t="s">
        <v>127</v>
      </c>
      <c r="B38" s="9" t="s">
        <v>92</v>
      </c>
      <c r="C38" s="9">
        <v>113</v>
      </c>
      <c r="D38" s="11" t="s">
        <v>9</v>
      </c>
      <c r="E38" s="9" t="s">
        <v>10</v>
      </c>
      <c r="F38" s="10">
        <v>1</v>
      </c>
      <c r="G38" s="9" t="s">
        <v>546</v>
      </c>
      <c r="H38" s="9">
        <f t="shared" si="2"/>
        <v>1</v>
      </c>
      <c r="I38" s="9">
        <v>0</v>
      </c>
      <c r="J38" s="11">
        <v>65535</v>
      </c>
      <c r="K38" s="11">
        <v>10</v>
      </c>
      <c r="L38" s="9">
        <v>1</v>
      </c>
      <c r="M38" s="9" t="s">
        <v>544</v>
      </c>
      <c r="N38" s="7"/>
      <c r="O38" s="7">
        <v>1</v>
      </c>
      <c r="P38" s="7">
        <v>1</v>
      </c>
      <c r="Q38" s="7">
        <f t="shared" si="0"/>
        <v>0</v>
      </c>
      <c r="R38" s="7">
        <f t="shared" si="1"/>
        <v>65535</v>
      </c>
      <c r="S38" s="7">
        <f>K38*O38/P38</f>
        <v>10</v>
      </c>
      <c r="T38" s="7" t="s">
        <v>103</v>
      </c>
      <c r="U38" s="4"/>
    </row>
    <row r="39" spans="1:21" s="5" customFormat="1" x14ac:dyDescent="0.25">
      <c r="A39" s="9" t="s">
        <v>128</v>
      </c>
      <c r="B39" s="9" t="s">
        <v>93</v>
      </c>
      <c r="C39" s="9">
        <v>114</v>
      </c>
      <c r="D39" s="11" t="s">
        <v>9</v>
      </c>
      <c r="E39" s="9" t="s">
        <v>10</v>
      </c>
      <c r="F39" s="10">
        <v>1</v>
      </c>
      <c r="G39" s="9" t="s">
        <v>546</v>
      </c>
      <c r="H39" s="9">
        <f t="shared" si="2"/>
        <v>1</v>
      </c>
      <c r="I39" s="9">
        <v>0</v>
      </c>
      <c r="J39" s="11">
        <v>65535</v>
      </c>
      <c r="K39" s="11">
        <v>444</v>
      </c>
      <c r="L39" s="9">
        <v>1</v>
      </c>
      <c r="M39" s="9" t="s">
        <v>544</v>
      </c>
      <c r="N39" s="7"/>
      <c r="O39" s="7">
        <v>1</v>
      </c>
      <c r="P39" s="8">
        <v>1</v>
      </c>
      <c r="Q39" s="7">
        <f t="shared" si="0"/>
        <v>0</v>
      </c>
      <c r="R39" s="7">
        <f t="shared" si="1"/>
        <v>65535</v>
      </c>
      <c r="S39" s="7">
        <f>K39*O39/P39</f>
        <v>444</v>
      </c>
      <c r="T39" s="7" t="s">
        <v>103</v>
      </c>
      <c r="U39" s="4"/>
    </row>
    <row r="40" spans="1:21" s="5" customFormat="1" x14ac:dyDescent="0.25">
      <c r="A40" s="9" t="s">
        <v>129</v>
      </c>
      <c r="B40" s="9" t="s">
        <v>94</v>
      </c>
      <c r="C40" s="9">
        <v>115</v>
      </c>
      <c r="D40" s="11" t="s">
        <v>9</v>
      </c>
      <c r="E40" s="9" t="s">
        <v>10</v>
      </c>
      <c r="F40" s="10">
        <v>1</v>
      </c>
      <c r="G40" s="9" t="s">
        <v>546</v>
      </c>
      <c r="H40" s="9">
        <f t="shared" si="2"/>
        <v>1</v>
      </c>
      <c r="I40" s="9">
        <v>0</v>
      </c>
      <c r="J40" s="11">
        <v>65535</v>
      </c>
      <c r="K40" s="11">
        <v>555</v>
      </c>
      <c r="L40" s="9">
        <v>1</v>
      </c>
      <c r="M40" s="9" t="s">
        <v>544</v>
      </c>
      <c r="N40" s="7"/>
      <c r="O40" s="7">
        <v>1</v>
      </c>
      <c r="P40" s="8">
        <v>1</v>
      </c>
      <c r="Q40" s="7">
        <f t="shared" si="0"/>
        <v>0</v>
      </c>
      <c r="R40" s="7">
        <f t="shared" si="1"/>
        <v>65535</v>
      </c>
      <c r="S40" s="7">
        <f>K40*O40/P40</f>
        <v>555</v>
      </c>
      <c r="T40" s="7" t="s">
        <v>103</v>
      </c>
      <c r="U40" s="4"/>
    </row>
    <row r="41" spans="1:21" s="5" customFormat="1" x14ac:dyDescent="0.25">
      <c r="A41" s="9" t="s">
        <v>130</v>
      </c>
      <c r="B41" s="9" t="s">
        <v>95</v>
      </c>
      <c r="C41" s="9">
        <v>116</v>
      </c>
      <c r="D41" s="11" t="s">
        <v>9</v>
      </c>
      <c r="E41" s="9" t="s">
        <v>10</v>
      </c>
      <c r="F41" s="10">
        <v>1</v>
      </c>
      <c r="G41" s="9" t="s">
        <v>546</v>
      </c>
      <c r="H41" s="9">
        <f t="shared" si="2"/>
        <v>1</v>
      </c>
      <c r="I41" s="9">
        <v>0</v>
      </c>
      <c r="J41" s="11">
        <v>65535</v>
      </c>
      <c r="K41" s="11">
        <v>666</v>
      </c>
      <c r="L41" s="9">
        <v>1</v>
      </c>
      <c r="M41" s="9" t="s">
        <v>544</v>
      </c>
      <c r="N41" s="7"/>
      <c r="O41" s="7">
        <v>1</v>
      </c>
      <c r="P41" s="8">
        <v>1</v>
      </c>
      <c r="Q41" s="7">
        <f t="shared" si="0"/>
        <v>0</v>
      </c>
      <c r="R41" s="7">
        <f t="shared" si="1"/>
        <v>65535</v>
      </c>
      <c r="S41" s="7">
        <f>K41*O41/P41</f>
        <v>666</v>
      </c>
      <c r="T41" s="7" t="s">
        <v>103</v>
      </c>
      <c r="U41" s="4"/>
    </row>
    <row r="42" spans="1:21" s="5" customFormat="1" x14ac:dyDescent="0.25">
      <c r="A42" s="9" t="s">
        <v>131</v>
      </c>
      <c r="B42" s="9" t="s">
        <v>96</v>
      </c>
      <c r="C42" s="9">
        <v>117</v>
      </c>
      <c r="D42" s="11" t="s">
        <v>9</v>
      </c>
      <c r="E42" s="9" t="s">
        <v>10</v>
      </c>
      <c r="F42" s="10">
        <v>1</v>
      </c>
      <c r="G42" s="9" t="s">
        <v>546</v>
      </c>
      <c r="H42" s="9">
        <f t="shared" si="2"/>
        <v>1</v>
      </c>
      <c r="I42" s="9">
        <v>0</v>
      </c>
      <c r="J42" s="11">
        <v>65535</v>
      </c>
      <c r="K42" s="11">
        <v>777</v>
      </c>
      <c r="L42" s="9">
        <v>1</v>
      </c>
      <c r="M42" s="9" t="s">
        <v>544</v>
      </c>
      <c r="N42" s="7"/>
      <c r="O42" s="7">
        <v>1</v>
      </c>
      <c r="P42" s="8">
        <v>1</v>
      </c>
      <c r="Q42" s="7">
        <f t="shared" si="0"/>
        <v>0</v>
      </c>
      <c r="R42" s="7">
        <f t="shared" si="1"/>
        <v>65535</v>
      </c>
      <c r="S42" s="7">
        <f>K42*O42/P42</f>
        <v>777</v>
      </c>
      <c r="T42" s="7" t="s">
        <v>103</v>
      </c>
      <c r="U42" s="4"/>
    </row>
    <row r="43" spans="1:21" s="5" customFormat="1" x14ac:dyDescent="0.25">
      <c r="A43" s="9" t="s">
        <v>132</v>
      </c>
      <c r="B43" s="9" t="s">
        <v>154</v>
      </c>
      <c r="C43" s="9">
        <v>118</v>
      </c>
      <c r="D43" s="11" t="s">
        <v>9</v>
      </c>
      <c r="E43" s="9" t="s">
        <v>99</v>
      </c>
      <c r="F43" s="10" t="s">
        <v>555</v>
      </c>
      <c r="G43" s="9" t="s">
        <v>546</v>
      </c>
      <c r="H43" s="9">
        <f t="shared" si="2"/>
        <v>1</v>
      </c>
      <c r="I43" s="9">
        <v>10</v>
      </c>
      <c r="J43" s="11">
        <v>500</v>
      </c>
      <c r="K43" s="11">
        <v>300</v>
      </c>
      <c r="L43" s="9">
        <v>1</v>
      </c>
      <c r="M43" s="9" t="s">
        <v>544</v>
      </c>
      <c r="N43" s="7"/>
      <c r="O43" s="7">
        <v>1</v>
      </c>
      <c r="P43" s="7">
        <v>1</v>
      </c>
      <c r="Q43" s="7">
        <f t="shared" si="0"/>
        <v>10</v>
      </c>
      <c r="R43" s="7">
        <f t="shared" si="1"/>
        <v>500</v>
      </c>
      <c r="S43" s="7">
        <f>K43*O43/P43</f>
        <v>300</v>
      </c>
      <c r="T43" s="7" t="s">
        <v>211</v>
      </c>
      <c r="U43" s="4"/>
    </row>
    <row r="44" spans="1:21" s="5" customFormat="1" x14ac:dyDescent="0.25">
      <c r="A44" s="9" t="s">
        <v>133</v>
      </c>
      <c r="B44" s="9" t="s">
        <v>155</v>
      </c>
      <c r="C44" s="9">
        <v>119</v>
      </c>
      <c r="D44" s="11" t="s">
        <v>9</v>
      </c>
      <c r="E44" s="11" t="s">
        <v>10</v>
      </c>
      <c r="F44" s="12">
        <v>1</v>
      </c>
      <c r="G44" s="9" t="s">
        <v>546</v>
      </c>
      <c r="H44" s="9">
        <f t="shared" si="2"/>
        <v>1</v>
      </c>
      <c r="I44" s="9">
        <v>-5</v>
      </c>
      <c r="J44" s="11">
        <v>10</v>
      </c>
      <c r="K44" s="11">
        <v>5</v>
      </c>
      <c r="L44" s="9">
        <v>1</v>
      </c>
      <c r="M44" s="9" t="s">
        <v>544</v>
      </c>
      <c r="N44" s="7"/>
      <c r="O44" s="7">
        <v>1</v>
      </c>
      <c r="P44" s="8">
        <v>1</v>
      </c>
      <c r="Q44" s="7">
        <f t="shared" si="0"/>
        <v>-5</v>
      </c>
      <c r="R44" s="7">
        <f t="shared" si="1"/>
        <v>10</v>
      </c>
      <c r="S44" s="7">
        <f>K44*O44/P44</f>
        <v>5</v>
      </c>
      <c r="T44" s="8" t="s">
        <v>414</v>
      </c>
      <c r="U44" s="4"/>
    </row>
    <row r="45" spans="1:21" s="5" customFormat="1" x14ac:dyDescent="0.25">
      <c r="A45" s="9" t="s">
        <v>134</v>
      </c>
      <c r="B45" s="9" t="s">
        <v>156</v>
      </c>
      <c r="C45" s="9">
        <v>120</v>
      </c>
      <c r="D45" s="11" t="s">
        <v>9</v>
      </c>
      <c r="E45" s="11" t="s">
        <v>10</v>
      </c>
      <c r="F45" s="12">
        <v>1</v>
      </c>
      <c r="G45" s="9" t="s">
        <v>546</v>
      </c>
      <c r="H45" s="9">
        <f t="shared" si="2"/>
        <v>1</v>
      </c>
      <c r="I45" s="9">
        <v>0</v>
      </c>
      <c r="J45" s="11">
        <v>14</v>
      </c>
      <c r="K45" s="11">
        <v>11</v>
      </c>
      <c r="L45" s="9">
        <v>1</v>
      </c>
      <c r="M45" s="9" t="s">
        <v>544</v>
      </c>
      <c r="N45" s="7"/>
      <c r="O45" s="7">
        <v>1</v>
      </c>
      <c r="P45" s="8">
        <v>1</v>
      </c>
      <c r="Q45" s="7">
        <f t="shared" si="0"/>
        <v>0</v>
      </c>
      <c r="R45" s="7">
        <f t="shared" si="1"/>
        <v>14</v>
      </c>
      <c r="S45" s="7">
        <f>K45*O45/P45</f>
        <v>11</v>
      </c>
      <c r="T45" s="8"/>
      <c r="U45" s="4"/>
    </row>
    <row r="46" spans="1:21" s="5" customFormat="1" x14ac:dyDescent="0.25">
      <c r="A46" s="9" t="s">
        <v>135</v>
      </c>
      <c r="B46" s="9" t="s">
        <v>157</v>
      </c>
      <c r="C46" s="9">
        <v>121</v>
      </c>
      <c r="D46" s="11" t="s">
        <v>11</v>
      </c>
      <c r="E46" s="9" t="s">
        <v>13</v>
      </c>
      <c r="F46" s="10" t="s">
        <v>548</v>
      </c>
      <c r="G46" s="9" t="s">
        <v>546</v>
      </c>
      <c r="H46" s="9">
        <f t="shared" si="2"/>
        <v>1</v>
      </c>
      <c r="I46" s="9">
        <v>0</v>
      </c>
      <c r="J46" s="11">
        <v>660</v>
      </c>
      <c r="K46" s="11">
        <v>0</v>
      </c>
      <c r="L46" s="9">
        <v>1</v>
      </c>
      <c r="M46" s="9" t="s">
        <v>544</v>
      </c>
      <c r="N46" s="7"/>
      <c r="O46" s="7">
        <v>1</v>
      </c>
      <c r="P46" s="8">
        <v>1</v>
      </c>
      <c r="Q46" s="7">
        <f t="shared" si="0"/>
        <v>0</v>
      </c>
      <c r="R46" s="7">
        <f t="shared" si="1"/>
        <v>660</v>
      </c>
      <c r="S46" s="7">
        <f>K46*O46/P46</f>
        <v>0</v>
      </c>
      <c r="T46" s="7" t="s">
        <v>213</v>
      </c>
      <c r="U46" s="4"/>
    </row>
    <row r="47" spans="1:21" s="5" customFormat="1" x14ac:dyDescent="0.25">
      <c r="A47" s="9" t="s">
        <v>136</v>
      </c>
      <c r="B47" s="9" t="s">
        <v>158</v>
      </c>
      <c r="C47" s="9">
        <v>122</v>
      </c>
      <c r="D47" s="11" t="s">
        <v>9</v>
      </c>
      <c r="E47" s="9" t="s">
        <v>212</v>
      </c>
      <c r="F47" s="10" t="s">
        <v>556</v>
      </c>
      <c r="G47" s="9" t="s">
        <v>546</v>
      </c>
      <c r="H47" s="9">
        <f t="shared" si="2"/>
        <v>1</v>
      </c>
      <c r="I47" s="9">
        <v>0</v>
      </c>
      <c r="J47" s="11">
        <v>4095</v>
      </c>
      <c r="K47" s="11">
        <v>400</v>
      </c>
      <c r="L47" s="9">
        <v>1</v>
      </c>
      <c r="M47" s="9" t="s">
        <v>544</v>
      </c>
      <c r="N47" s="7"/>
      <c r="O47" s="7">
        <v>1</v>
      </c>
      <c r="P47" s="7">
        <v>1</v>
      </c>
      <c r="Q47" s="7">
        <f t="shared" si="0"/>
        <v>0</v>
      </c>
      <c r="R47" s="7">
        <f t="shared" si="1"/>
        <v>4095</v>
      </c>
      <c r="S47" s="7">
        <f>K47*O47/P47</f>
        <v>400</v>
      </c>
      <c r="T47" s="7" t="s">
        <v>214</v>
      </c>
      <c r="U47" s="4"/>
    </row>
    <row r="48" spans="1:21" s="5" customFormat="1" x14ac:dyDescent="0.25">
      <c r="A48" s="9" t="s">
        <v>137</v>
      </c>
      <c r="B48" s="9" t="s">
        <v>159</v>
      </c>
      <c r="C48" s="9">
        <v>123</v>
      </c>
      <c r="D48" s="11" t="s">
        <v>9</v>
      </c>
      <c r="E48" s="9" t="s">
        <v>65</v>
      </c>
      <c r="F48" s="10" t="s">
        <v>551</v>
      </c>
      <c r="G48" s="9" t="s">
        <v>546</v>
      </c>
      <c r="H48" s="9">
        <f t="shared" si="2"/>
        <v>3.125E-2</v>
      </c>
      <c r="I48" s="9">
        <v>1</v>
      </c>
      <c r="J48" s="11">
        <v>320</v>
      </c>
      <c r="K48" s="11">
        <v>96</v>
      </c>
      <c r="L48" s="9">
        <v>1</v>
      </c>
      <c r="M48" s="9" t="s">
        <v>544</v>
      </c>
      <c r="N48" s="7"/>
      <c r="O48" s="7">
        <v>500</v>
      </c>
      <c r="P48" s="7">
        <v>16000</v>
      </c>
      <c r="Q48" s="7">
        <f t="shared" si="0"/>
        <v>3.125E-2</v>
      </c>
      <c r="R48" s="7">
        <f t="shared" si="1"/>
        <v>10</v>
      </c>
      <c r="S48" s="7">
        <f>K48*O48/P48</f>
        <v>3</v>
      </c>
      <c r="T48" s="7" t="s">
        <v>215</v>
      </c>
      <c r="U48" s="4"/>
    </row>
    <row r="49" spans="1:21" s="5" customFormat="1" x14ac:dyDescent="0.25">
      <c r="A49" s="9" t="s">
        <v>138</v>
      </c>
      <c r="B49" s="9" t="s">
        <v>160</v>
      </c>
      <c r="C49" s="9">
        <v>124</v>
      </c>
      <c r="D49" s="11" t="s">
        <v>9</v>
      </c>
      <c r="E49" s="9" t="s">
        <v>8</v>
      </c>
      <c r="F49" s="10" t="s">
        <v>542</v>
      </c>
      <c r="G49" s="9" t="s">
        <v>546</v>
      </c>
      <c r="H49" s="9">
        <f t="shared" si="2"/>
        <v>1</v>
      </c>
      <c r="I49" s="9">
        <v>2</v>
      </c>
      <c r="J49" s="11">
        <v>359</v>
      </c>
      <c r="K49" s="11">
        <v>2</v>
      </c>
      <c r="L49" s="9">
        <v>1</v>
      </c>
      <c r="M49" s="9" t="s">
        <v>544</v>
      </c>
      <c r="N49" s="7"/>
      <c r="O49" s="7">
        <v>1</v>
      </c>
      <c r="P49" s="7">
        <v>1</v>
      </c>
      <c r="Q49" s="7">
        <f t="shared" si="0"/>
        <v>2</v>
      </c>
      <c r="R49" s="7">
        <f t="shared" si="1"/>
        <v>359</v>
      </c>
      <c r="S49" s="7">
        <f>K49*O49/P49</f>
        <v>2</v>
      </c>
      <c r="T49" s="7" t="s">
        <v>216</v>
      </c>
      <c r="U49" s="4"/>
    </row>
    <row r="50" spans="1:21" s="5" customFormat="1" x14ac:dyDescent="0.25">
      <c r="A50" s="9" t="s">
        <v>139</v>
      </c>
      <c r="B50" s="9" t="s">
        <v>161</v>
      </c>
      <c r="C50" s="9">
        <v>125</v>
      </c>
      <c r="D50" s="11" t="s">
        <v>11</v>
      </c>
      <c r="E50" s="9" t="s">
        <v>8</v>
      </c>
      <c r="F50" s="10" t="s">
        <v>542</v>
      </c>
      <c r="G50" s="9" t="s">
        <v>546</v>
      </c>
      <c r="H50" s="9">
        <f t="shared" si="2"/>
        <v>1</v>
      </c>
      <c r="I50" s="9">
        <v>0</v>
      </c>
      <c r="J50" s="11">
        <v>359</v>
      </c>
      <c r="K50" s="11">
        <v>1</v>
      </c>
      <c r="L50" s="9">
        <v>1</v>
      </c>
      <c r="M50" s="9" t="s">
        <v>544</v>
      </c>
      <c r="N50" s="7"/>
      <c r="O50" s="7">
        <v>1</v>
      </c>
      <c r="P50" s="7">
        <v>1</v>
      </c>
      <c r="Q50" s="7">
        <f t="shared" si="0"/>
        <v>0</v>
      </c>
      <c r="R50" s="7">
        <f t="shared" si="1"/>
        <v>359</v>
      </c>
      <c r="S50" s="7">
        <f>K50*O50/P50</f>
        <v>1</v>
      </c>
      <c r="T50" s="7" t="s">
        <v>217</v>
      </c>
      <c r="U50" s="4"/>
    </row>
    <row r="51" spans="1:21" s="5" customFormat="1" x14ac:dyDescent="0.25">
      <c r="A51" s="9" t="s">
        <v>140</v>
      </c>
      <c r="B51" s="9" t="s">
        <v>162</v>
      </c>
      <c r="C51" s="9">
        <v>126</v>
      </c>
      <c r="D51" s="11" t="s">
        <v>9</v>
      </c>
      <c r="E51" s="9" t="s">
        <v>10</v>
      </c>
      <c r="F51" s="10">
        <v>1</v>
      </c>
      <c r="G51" s="9" t="s">
        <v>546</v>
      </c>
      <c r="H51" s="9">
        <f t="shared" si="2"/>
        <v>1</v>
      </c>
      <c r="I51" s="9">
        <v>1</v>
      </c>
      <c r="J51" s="11">
        <v>100</v>
      </c>
      <c r="K51" s="11">
        <v>1</v>
      </c>
      <c r="L51" s="9">
        <v>1</v>
      </c>
      <c r="M51" s="9" t="s">
        <v>544</v>
      </c>
      <c r="N51" s="7"/>
      <c r="O51" s="7">
        <v>1</v>
      </c>
      <c r="P51" s="7">
        <v>1</v>
      </c>
      <c r="Q51" s="7">
        <f t="shared" si="0"/>
        <v>1</v>
      </c>
      <c r="R51" s="7">
        <f t="shared" si="1"/>
        <v>100</v>
      </c>
      <c r="S51" s="7">
        <f>K51*O51/P51</f>
        <v>1</v>
      </c>
      <c r="T51" s="7" t="s">
        <v>218</v>
      </c>
      <c r="U51" s="4"/>
    </row>
    <row r="52" spans="1:21" s="5" customFormat="1" x14ac:dyDescent="0.25">
      <c r="A52" s="9" t="s">
        <v>141</v>
      </c>
      <c r="B52" s="9" t="s">
        <v>163</v>
      </c>
      <c r="C52" s="9">
        <v>127</v>
      </c>
      <c r="D52" s="11" t="s">
        <v>9</v>
      </c>
      <c r="E52" s="9" t="s">
        <v>10</v>
      </c>
      <c r="F52" s="10">
        <v>1</v>
      </c>
      <c r="G52" s="9" t="s">
        <v>546</v>
      </c>
      <c r="H52" s="9">
        <f t="shared" si="2"/>
        <v>1</v>
      </c>
      <c r="I52" s="9">
        <v>1</v>
      </c>
      <c r="J52" s="11">
        <v>100</v>
      </c>
      <c r="K52" s="11">
        <v>25</v>
      </c>
      <c r="L52" s="9">
        <v>1</v>
      </c>
      <c r="M52" s="9" t="s">
        <v>544</v>
      </c>
      <c r="N52" s="7"/>
      <c r="O52" s="7">
        <v>1</v>
      </c>
      <c r="P52" s="7">
        <v>1</v>
      </c>
      <c r="Q52" s="7">
        <f t="shared" si="0"/>
        <v>1</v>
      </c>
      <c r="R52" s="7">
        <f t="shared" si="1"/>
        <v>100</v>
      </c>
      <c r="S52" s="7">
        <f>K52*O52/P52</f>
        <v>25</v>
      </c>
      <c r="T52" s="7" t="s">
        <v>219</v>
      </c>
      <c r="U52" s="4"/>
    </row>
    <row r="53" spans="1:21" s="5" customFormat="1" x14ac:dyDescent="0.25">
      <c r="A53" s="9" t="s">
        <v>142</v>
      </c>
      <c r="B53" s="9" t="s">
        <v>164</v>
      </c>
      <c r="C53" s="9">
        <v>128</v>
      </c>
      <c r="D53" s="11" t="s">
        <v>9</v>
      </c>
      <c r="E53" s="9" t="s">
        <v>10</v>
      </c>
      <c r="F53" s="10">
        <v>1</v>
      </c>
      <c r="G53" s="9" t="s">
        <v>546</v>
      </c>
      <c r="H53" s="9">
        <f t="shared" si="2"/>
        <v>1</v>
      </c>
      <c r="I53" s="9">
        <v>1</v>
      </c>
      <c r="J53" s="11">
        <v>20</v>
      </c>
      <c r="K53" s="11">
        <v>5</v>
      </c>
      <c r="L53" s="9">
        <v>1</v>
      </c>
      <c r="M53" s="9" t="s">
        <v>544</v>
      </c>
      <c r="N53" s="7"/>
      <c r="O53" s="7">
        <v>1</v>
      </c>
      <c r="P53" s="7">
        <v>1</v>
      </c>
      <c r="Q53" s="7">
        <f t="shared" si="0"/>
        <v>1</v>
      </c>
      <c r="R53" s="7">
        <f t="shared" si="1"/>
        <v>20</v>
      </c>
      <c r="S53" s="7">
        <f>K53*O53/P53</f>
        <v>5</v>
      </c>
      <c r="T53" s="7" t="s">
        <v>220</v>
      </c>
      <c r="U53" s="4"/>
    </row>
    <row r="54" spans="1:21" s="5" customFormat="1" x14ac:dyDescent="0.25">
      <c r="A54" s="9" t="s">
        <v>143</v>
      </c>
      <c r="B54" s="9" t="s">
        <v>165</v>
      </c>
      <c r="C54" s="9">
        <v>129</v>
      </c>
      <c r="D54" s="11" t="s">
        <v>9</v>
      </c>
      <c r="E54" s="9" t="s">
        <v>99</v>
      </c>
      <c r="F54" s="10" t="s">
        <v>555</v>
      </c>
      <c r="G54" s="9" t="s">
        <v>546</v>
      </c>
      <c r="H54" s="9">
        <f t="shared" si="2"/>
        <v>1</v>
      </c>
      <c r="I54" s="9">
        <v>10</v>
      </c>
      <c r="J54" s="11">
        <v>250</v>
      </c>
      <c r="K54" s="11">
        <v>150</v>
      </c>
      <c r="L54" s="9">
        <v>1</v>
      </c>
      <c r="M54" s="9" t="s">
        <v>544</v>
      </c>
      <c r="N54" s="7"/>
      <c r="O54" s="7">
        <v>1</v>
      </c>
      <c r="P54" s="7">
        <v>1</v>
      </c>
      <c r="Q54" s="7">
        <f t="shared" si="0"/>
        <v>10</v>
      </c>
      <c r="R54" s="7">
        <f t="shared" si="1"/>
        <v>250</v>
      </c>
      <c r="S54" s="7">
        <f>K54*O54/P54</f>
        <v>150</v>
      </c>
      <c r="T54" s="7" t="s">
        <v>221</v>
      </c>
      <c r="U54" s="4"/>
    </row>
    <row r="55" spans="1:21" s="5" customFormat="1" x14ac:dyDescent="0.25">
      <c r="A55" s="9" t="s">
        <v>144</v>
      </c>
      <c r="B55" s="9" t="s">
        <v>166</v>
      </c>
      <c r="C55" s="9">
        <v>130</v>
      </c>
      <c r="D55" s="11" t="s">
        <v>9</v>
      </c>
      <c r="E55" s="9" t="s">
        <v>10</v>
      </c>
      <c r="F55" s="10">
        <v>1</v>
      </c>
      <c r="G55" s="9" t="s">
        <v>546</v>
      </c>
      <c r="H55" s="9">
        <f t="shared" si="2"/>
        <v>1</v>
      </c>
      <c r="I55" s="9">
        <v>1</v>
      </c>
      <c r="J55" s="11">
        <v>11</v>
      </c>
      <c r="K55" s="11">
        <v>4</v>
      </c>
      <c r="L55" s="9">
        <v>1</v>
      </c>
      <c r="M55" s="9" t="s">
        <v>544</v>
      </c>
      <c r="N55" s="7"/>
      <c r="O55" s="7">
        <v>1</v>
      </c>
      <c r="P55" s="7">
        <v>1</v>
      </c>
      <c r="Q55" s="7">
        <f t="shared" si="0"/>
        <v>1</v>
      </c>
      <c r="R55" s="7">
        <f t="shared" si="1"/>
        <v>11</v>
      </c>
      <c r="S55" s="7">
        <f>K55*O55/P55</f>
        <v>4</v>
      </c>
      <c r="T55" s="7" t="s">
        <v>222</v>
      </c>
      <c r="U55" s="4"/>
    </row>
    <row r="56" spans="1:21" s="5" customFormat="1" x14ac:dyDescent="0.25">
      <c r="A56" s="9" t="s">
        <v>145</v>
      </c>
      <c r="B56" s="9" t="s">
        <v>167</v>
      </c>
      <c r="C56" s="9">
        <v>131</v>
      </c>
      <c r="D56" s="11" t="s">
        <v>9</v>
      </c>
      <c r="E56" s="9" t="s">
        <v>10</v>
      </c>
      <c r="F56" s="10">
        <v>1</v>
      </c>
      <c r="G56" s="9" t="s">
        <v>546</v>
      </c>
      <c r="H56" s="9">
        <f t="shared" si="2"/>
        <v>1</v>
      </c>
      <c r="I56" s="9">
        <v>0</v>
      </c>
      <c r="J56" s="11">
        <v>5</v>
      </c>
      <c r="K56" s="11">
        <v>4</v>
      </c>
      <c r="L56" s="9">
        <v>1</v>
      </c>
      <c r="M56" s="9" t="s">
        <v>544</v>
      </c>
      <c r="N56" s="7"/>
      <c r="O56" s="7">
        <v>1</v>
      </c>
      <c r="P56" s="7">
        <v>1</v>
      </c>
      <c r="Q56" s="7">
        <f t="shared" si="0"/>
        <v>0</v>
      </c>
      <c r="R56" s="7">
        <f t="shared" si="1"/>
        <v>5</v>
      </c>
      <c r="S56" s="7">
        <f>K56*O56/P56</f>
        <v>4</v>
      </c>
      <c r="T56" s="7" t="s">
        <v>223</v>
      </c>
      <c r="U56" s="4"/>
    </row>
    <row r="57" spans="1:21" s="5" customFormat="1" x14ac:dyDescent="0.25">
      <c r="A57" s="9" t="s">
        <v>146</v>
      </c>
      <c r="B57" s="13" t="s">
        <v>168</v>
      </c>
      <c r="C57" s="9">
        <v>132</v>
      </c>
      <c r="D57" s="11" t="s">
        <v>9</v>
      </c>
      <c r="E57" s="9" t="s">
        <v>10</v>
      </c>
      <c r="F57" s="10">
        <v>1</v>
      </c>
      <c r="G57" s="9" t="s">
        <v>546</v>
      </c>
      <c r="H57" s="9">
        <f t="shared" si="2"/>
        <v>1</v>
      </c>
      <c r="I57" s="9">
        <v>-1</v>
      </c>
      <c r="J57" s="11">
        <v>5</v>
      </c>
      <c r="K57" s="11">
        <v>1</v>
      </c>
      <c r="L57" s="9">
        <v>1</v>
      </c>
      <c r="M57" s="9" t="s">
        <v>544</v>
      </c>
      <c r="N57" s="7"/>
      <c r="O57" s="7">
        <v>1</v>
      </c>
      <c r="P57" s="7">
        <v>1</v>
      </c>
      <c r="Q57" s="7">
        <f t="shared" si="0"/>
        <v>-1</v>
      </c>
      <c r="R57" s="7">
        <f t="shared" si="1"/>
        <v>5</v>
      </c>
      <c r="S57" s="7">
        <f>K57*O57/P57</f>
        <v>1</v>
      </c>
      <c r="T57" s="7" t="s">
        <v>223</v>
      </c>
      <c r="U57" s="4"/>
    </row>
    <row r="58" spans="1:21" s="5" customFormat="1" x14ac:dyDescent="0.25">
      <c r="A58" s="9" t="s">
        <v>147</v>
      </c>
      <c r="B58" s="13" t="s">
        <v>169</v>
      </c>
      <c r="C58" s="9">
        <v>133</v>
      </c>
      <c r="D58" s="11" t="s">
        <v>9</v>
      </c>
      <c r="E58" s="9" t="s">
        <v>10</v>
      </c>
      <c r="F58" s="10">
        <v>1</v>
      </c>
      <c r="G58" s="9" t="s">
        <v>546</v>
      </c>
      <c r="H58" s="9">
        <f t="shared" si="2"/>
        <v>1</v>
      </c>
      <c r="I58" s="9">
        <v>-1</v>
      </c>
      <c r="J58" s="11">
        <v>5</v>
      </c>
      <c r="K58" s="11">
        <v>1</v>
      </c>
      <c r="L58" s="9">
        <v>1</v>
      </c>
      <c r="M58" s="9" t="s">
        <v>544</v>
      </c>
      <c r="N58" s="7"/>
      <c r="O58" s="7">
        <v>1</v>
      </c>
      <c r="P58" s="7">
        <v>1</v>
      </c>
      <c r="Q58" s="7">
        <f t="shared" si="0"/>
        <v>-1</v>
      </c>
      <c r="R58" s="7">
        <f t="shared" si="1"/>
        <v>5</v>
      </c>
      <c r="S58" s="7">
        <f>K58*O58/P58</f>
        <v>1</v>
      </c>
      <c r="T58" s="7" t="s">
        <v>223</v>
      </c>
      <c r="U58" s="4"/>
    </row>
    <row r="59" spans="1:21" s="5" customFormat="1" x14ac:dyDescent="0.25">
      <c r="A59" s="9" t="s">
        <v>148</v>
      </c>
      <c r="B59" s="9" t="s">
        <v>170</v>
      </c>
      <c r="C59" s="9">
        <v>134</v>
      </c>
      <c r="D59" s="11" t="s">
        <v>9</v>
      </c>
      <c r="E59" s="9" t="s">
        <v>10</v>
      </c>
      <c r="F59" s="10">
        <v>1</v>
      </c>
      <c r="G59" s="9" t="s">
        <v>546</v>
      </c>
      <c r="H59" s="9">
        <f t="shared" si="2"/>
        <v>1</v>
      </c>
      <c r="I59" s="9">
        <v>-1</v>
      </c>
      <c r="J59" s="11">
        <v>5</v>
      </c>
      <c r="K59" s="11">
        <v>1</v>
      </c>
      <c r="L59" s="9">
        <v>1</v>
      </c>
      <c r="M59" s="9" t="s">
        <v>544</v>
      </c>
      <c r="N59" s="7"/>
      <c r="O59" s="7">
        <v>1</v>
      </c>
      <c r="P59" s="7">
        <v>1</v>
      </c>
      <c r="Q59" s="7">
        <f t="shared" si="0"/>
        <v>-1</v>
      </c>
      <c r="R59" s="7">
        <f t="shared" si="1"/>
        <v>5</v>
      </c>
      <c r="S59" s="7">
        <f>K59*O59/P59</f>
        <v>1</v>
      </c>
      <c r="T59" s="7" t="s">
        <v>223</v>
      </c>
      <c r="U59" s="4"/>
    </row>
    <row r="60" spans="1:21" s="5" customFormat="1" x14ac:dyDescent="0.25">
      <c r="A60" s="9" t="s">
        <v>149</v>
      </c>
      <c r="B60" s="9" t="s">
        <v>171</v>
      </c>
      <c r="C60" s="9">
        <v>135</v>
      </c>
      <c r="D60" s="11" t="s">
        <v>9</v>
      </c>
      <c r="E60" s="9" t="s">
        <v>10</v>
      </c>
      <c r="F60" s="10">
        <v>1</v>
      </c>
      <c r="G60" s="9" t="s">
        <v>546</v>
      </c>
      <c r="H60" s="9">
        <f t="shared" si="2"/>
        <v>1</v>
      </c>
      <c r="I60" s="9">
        <v>-1</v>
      </c>
      <c r="J60" s="11">
        <v>5</v>
      </c>
      <c r="K60" s="11">
        <v>1</v>
      </c>
      <c r="L60" s="9">
        <v>1</v>
      </c>
      <c r="M60" s="9" t="s">
        <v>544</v>
      </c>
      <c r="N60" s="7"/>
      <c r="O60" s="7">
        <v>1</v>
      </c>
      <c r="P60" s="7">
        <v>1</v>
      </c>
      <c r="Q60" s="7">
        <f t="shared" si="0"/>
        <v>-1</v>
      </c>
      <c r="R60" s="7">
        <f t="shared" si="1"/>
        <v>5</v>
      </c>
      <c r="S60" s="7">
        <f>K60*O60/P60</f>
        <v>1</v>
      </c>
      <c r="T60" s="7" t="s">
        <v>223</v>
      </c>
      <c r="U60" s="4"/>
    </row>
    <row r="61" spans="1:21" s="5" customFormat="1" x14ac:dyDescent="0.25">
      <c r="A61" s="9" t="s">
        <v>150</v>
      </c>
      <c r="B61" s="9" t="s">
        <v>172</v>
      </c>
      <c r="C61" s="9">
        <v>136</v>
      </c>
      <c r="D61" s="11" t="s">
        <v>9</v>
      </c>
      <c r="E61" s="9" t="s">
        <v>13</v>
      </c>
      <c r="F61" s="10" t="s">
        <v>548</v>
      </c>
      <c r="G61" s="9" t="s">
        <v>546</v>
      </c>
      <c r="H61" s="9">
        <f t="shared" si="2"/>
        <v>1</v>
      </c>
      <c r="I61" s="9">
        <v>230</v>
      </c>
      <c r="J61" s="11">
        <v>400</v>
      </c>
      <c r="K61" s="11">
        <v>250</v>
      </c>
      <c r="L61" s="9">
        <v>1</v>
      </c>
      <c r="M61" s="9" t="s">
        <v>544</v>
      </c>
      <c r="N61" s="7"/>
      <c r="O61" s="7">
        <v>1</v>
      </c>
      <c r="P61" s="7">
        <v>1</v>
      </c>
      <c r="Q61" s="7">
        <f t="shared" si="0"/>
        <v>230</v>
      </c>
      <c r="R61" s="7">
        <f t="shared" si="1"/>
        <v>400</v>
      </c>
      <c r="S61" s="7">
        <f>K61*O61/P61</f>
        <v>250</v>
      </c>
      <c r="T61" s="7" t="s">
        <v>224</v>
      </c>
      <c r="U61" s="4"/>
    </row>
    <row r="62" spans="1:21" s="5" customFormat="1" x14ac:dyDescent="0.25">
      <c r="A62" s="9" t="s">
        <v>151</v>
      </c>
      <c r="B62" s="9" t="s">
        <v>173</v>
      </c>
      <c r="C62" s="9">
        <v>137</v>
      </c>
      <c r="D62" s="11" t="s">
        <v>9</v>
      </c>
      <c r="E62" s="9" t="s">
        <v>13</v>
      </c>
      <c r="F62" s="10" t="s">
        <v>548</v>
      </c>
      <c r="G62" s="9" t="s">
        <v>546</v>
      </c>
      <c r="H62" s="9">
        <f t="shared" si="2"/>
        <v>1</v>
      </c>
      <c r="I62" s="9">
        <v>400</v>
      </c>
      <c r="J62" s="11">
        <v>750</v>
      </c>
      <c r="K62" s="11">
        <v>700</v>
      </c>
      <c r="L62" s="9">
        <v>1</v>
      </c>
      <c r="M62" s="9" t="s">
        <v>544</v>
      </c>
      <c r="N62" s="7"/>
      <c r="O62" s="7">
        <v>1</v>
      </c>
      <c r="P62" s="7">
        <v>1</v>
      </c>
      <c r="Q62" s="7">
        <f t="shared" si="0"/>
        <v>400</v>
      </c>
      <c r="R62" s="7">
        <f t="shared" si="1"/>
        <v>750</v>
      </c>
      <c r="S62" s="7">
        <f>K62*O62/P62</f>
        <v>700</v>
      </c>
      <c r="T62" s="7" t="s">
        <v>227</v>
      </c>
      <c r="U62" s="4"/>
    </row>
    <row r="63" spans="1:21" s="5" customFormat="1" x14ac:dyDescent="0.25">
      <c r="A63" s="9" t="s">
        <v>152</v>
      </c>
      <c r="B63" s="9" t="s">
        <v>174</v>
      </c>
      <c r="C63" s="9">
        <v>138</v>
      </c>
      <c r="D63" s="11" t="s">
        <v>9</v>
      </c>
      <c r="E63" s="9" t="s">
        <v>226</v>
      </c>
      <c r="F63" s="10">
        <v>1</v>
      </c>
      <c r="G63" s="9" t="s">
        <v>546</v>
      </c>
      <c r="H63" s="9">
        <f t="shared" si="2"/>
        <v>1</v>
      </c>
      <c r="I63" s="9">
        <v>10</v>
      </c>
      <c r="J63" s="11">
        <v>90</v>
      </c>
      <c r="K63" s="11">
        <v>30</v>
      </c>
      <c r="L63" s="9">
        <v>1</v>
      </c>
      <c r="M63" s="9" t="s">
        <v>544</v>
      </c>
      <c r="N63" s="7"/>
      <c r="O63" s="7">
        <v>1</v>
      </c>
      <c r="P63" s="7">
        <v>1</v>
      </c>
      <c r="Q63" s="7">
        <f t="shared" si="0"/>
        <v>10</v>
      </c>
      <c r="R63" s="7">
        <f t="shared" si="1"/>
        <v>90</v>
      </c>
      <c r="S63" s="7">
        <f>K63*O63/P63</f>
        <v>30</v>
      </c>
      <c r="T63" s="7" t="s">
        <v>225</v>
      </c>
      <c r="U63" s="4"/>
    </row>
    <row r="64" spans="1:21" s="5" customFormat="1" x14ac:dyDescent="0.25">
      <c r="A64" s="9" t="s">
        <v>153</v>
      </c>
      <c r="B64" s="9" t="s">
        <v>175</v>
      </c>
      <c r="C64" s="9">
        <v>139</v>
      </c>
      <c r="D64" s="11" t="s">
        <v>9</v>
      </c>
      <c r="E64" s="9" t="s">
        <v>44</v>
      </c>
      <c r="F64" s="10" t="s">
        <v>550</v>
      </c>
      <c r="G64" s="9" t="s">
        <v>546</v>
      </c>
      <c r="H64" s="9">
        <f t="shared" si="2"/>
        <v>1</v>
      </c>
      <c r="I64" s="9">
        <v>1</v>
      </c>
      <c r="J64" s="11">
        <v>90</v>
      </c>
      <c r="K64" s="11">
        <v>5</v>
      </c>
      <c r="L64" s="9">
        <v>1</v>
      </c>
      <c r="M64" s="9" t="s">
        <v>544</v>
      </c>
      <c r="N64" s="7"/>
      <c r="O64" s="7">
        <v>1</v>
      </c>
      <c r="P64" s="7">
        <v>1</v>
      </c>
      <c r="Q64" s="7">
        <f t="shared" si="0"/>
        <v>1</v>
      </c>
      <c r="R64" s="7">
        <f t="shared" si="1"/>
        <v>90</v>
      </c>
      <c r="S64" s="7">
        <f>K64*O64/P64</f>
        <v>5</v>
      </c>
      <c r="T64" s="7" t="s">
        <v>228</v>
      </c>
      <c r="U64" s="4"/>
    </row>
    <row r="65" spans="1:21" s="5" customFormat="1" x14ac:dyDescent="0.25">
      <c r="A65" s="9" t="s">
        <v>408</v>
      </c>
      <c r="B65" s="9" t="s">
        <v>176</v>
      </c>
      <c r="C65" s="9">
        <v>140</v>
      </c>
      <c r="D65" s="11" t="s">
        <v>9</v>
      </c>
      <c r="E65" s="9" t="s">
        <v>65</v>
      </c>
      <c r="F65" s="10" t="s">
        <v>551</v>
      </c>
      <c r="G65" s="9" t="s">
        <v>546</v>
      </c>
      <c r="H65" s="9">
        <f t="shared" si="2"/>
        <v>1</v>
      </c>
      <c r="I65" s="9">
        <v>13</v>
      </c>
      <c r="J65" s="11">
        <v>500</v>
      </c>
      <c r="K65" s="11">
        <v>40</v>
      </c>
      <c r="L65" s="9">
        <v>1</v>
      </c>
      <c r="M65" s="9" t="s">
        <v>544</v>
      </c>
      <c r="N65" s="7"/>
      <c r="O65" s="7">
        <v>1</v>
      </c>
      <c r="P65" s="7">
        <v>1</v>
      </c>
      <c r="Q65" s="7">
        <f t="shared" si="0"/>
        <v>13</v>
      </c>
      <c r="R65" s="7">
        <f t="shared" si="1"/>
        <v>500</v>
      </c>
      <c r="S65" s="7">
        <f>K65*O65/P65</f>
        <v>40</v>
      </c>
      <c r="T65" s="7" t="s">
        <v>229</v>
      </c>
      <c r="U65" s="4"/>
    </row>
    <row r="66" spans="1:21" s="5" customFormat="1" x14ac:dyDescent="0.25">
      <c r="A66" s="9" t="s">
        <v>409</v>
      </c>
      <c r="B66" s="9" t="s">
        <v>177</v>
      </c>
      <c r="C66" s="9">
        <v>141</v>
      </c>
      <c r="D66" s="11" t="s">
        <v>9</v>
      </c>
      <c r="E66" s="9" t="s">
        <v>10</v>
      </c>
      <c r="F66" s="10">
        <v>1</v>
      </c>
      <c r="G66" s="9" t="s">
        <v>546</v>
      </c>
      <c r="H66" s="9">
        <f t="shared" si="2"/>
        <v>1</v>
      </c>
      <c r="I66" s="9">
        <v>0</v>
      </c>
      <c r="J66" s="11">
        <v>17</v>
      </c>
      <c r="K66" s="11">
        <v>6</v>
      </c>
      <c r="L66" s="9">
        <v>1</v>
      </c>
      <c r="M66" s="9" t="s">
        <v>544</v>
      </c>
      <c r="N66" s="7"/>
      <c r="O66" s="7">
        <v>1</v>
      </c>
      <c r="P66" s="7">
        <v>1</v>
      </c>
      <c r="Q66" s="7">
        <f t="shared" si="0"/>
        <v>0</v>
      </c>
      <c r="R66" s="7">
        <f t="shared" si="1"/>
        <v>17</v>
      </c>
      <c r="S66" s="7">
        <f>K66*O66/P66</f>
        <v>6</v>
      </c>
      <c r="T66" s="7" t="s">
        <v>230</v>
      </c>
      <c r="U66" s="4"/>
    </row>
    <row r="67" spans="1:21" s="5" customFormat="1" x14ac:dyDescent="0.25">
      <c r="A67" s="9" t="s">
        <v>410</v>
      </c>
      <c r="B67" s="9" t="s">
        <v>178</v>
      </c>
      <c r="C67" s="9">
        <v>142</v>
      </c>
      <c r="D67" s="11" t="s">
        <v>9</v>
      </c>
      <c r="E67" s="9" t="s">
        <v>10</v>
      </c>
      <c r="F67" s="10">
        <v>1</v>
      </c>
      <c r="G67" s="9" t="s">
        <v>546</v>
      </c>
      <c r="H67" s="9">
        <f t="shared" si="2"/>
        <v>1</v>
      </c>
      <c r="I67" s="9">
        <v>-20</v>
      </c>
      <c r="J67" s="11">
        <v>20</v>
      </c>
      <c r="K67" s="11">
        <v>0</v>
      </c>
      <c r="L67" s="9">
        <v>1</v>
      </c>
      <c r="M67" s="9" t="s">
        <v>544</v>
      </c>
      <c r="N67" s="7"/>
      <c r="O67" s="7">
        <v>1</v>
      </c>
      <c r="P67" s="7">
        <v>1</v>
      </c>
      <c r="Q67" s="7">
        <f t="shared" ref="Q67:Q130" si="3">H67*I67</f>
        <v>-20</v>
      </c>
      <c r="R67" s="7">
        <f t="shared" ref="R67:R130" si="4">H67*J67</f>
        <v>20</v>
      </c>
      <c r="S67" s="7">
        <f>K67*O67/P67</f>
        <v>0</v>
      </c>
      <c r="T67" s="7" t="s">
        <v>231</v>
      </c>
      <c r="U67" s="4"/>
    </row>
    <row r="68" spans="1:21" s="5" customFormat="1" x14ac:dyDescent="0.25">
      <c r="A68" s="9" t="s">
        <v>411</v>
      </c>
      <c r="B68" s="9" t="s">
        <v>179</v>
      </c>
      <c r="C68" s="9">
        <v>143</v>
      </c>
      <c r="D68" s="11" t="s">
        <v>9</v>
      </c>
      <c r="E68" s="9" t="s">
        <v>44</v>
      </c>
      <c r="F68" s="10" t="s">
        <v>550</v>
      </c>
      <c r="G68" s="9" t="s">
        <v>546</v>
      </c>
      <c r="H68" s="9">
        <f t="shared" si="2"/>
        <v>1E-3</v>
      </c>
      <c r="I68" s="9">
        <v>1</v>
      </c>
      <c r="J68" s="11">
        <v>250</v>
      </c>
      <c r="K68" s="11">
        <v>5</v>
      </c>
      <c r="L68" s="9">
        <v>1</v>
      </c>
      <c r="M68" s="9" t="s">
        <v>544</v>
      </c>
      <c r="N68" s="7"/>
      <c r="O68" s="7">
        <v>1</v>
      </c>
      <c r="P68" s="7">
        <v>1000</v>
      </c>
      <c r="Q68" s="7">
        <f t="shared" si="3"/>
        <v>1E-3</v>
      </c>
      <c r="R68" s="7">
        <f t="shared" si="4"/>
        <v>0.25</v>
      </c>
      <c r="S68" s="7">
        <f>K68*O68/P68</f>
        <v>5.0000000000000001E-3</v>
      </c>
      <c r="T68" s="7" t="s">
        <v>232</v>
      </c>
      <c r="U68" s="4"/>
    </row>
    <row r="69" spans="1:21" s="5" customFormat="1" x14ac:dyDescent="0.25">
      <c r="A69" s="9" t="s">
        <v>412</v>
      </c>
      <c r="B69" s="9" t="s">
        <v>180</v>
      </c>
      <c r="C69" s="9">
        <v>144</v>
      </c>
      <c r="D69" s="11" t="s">
        <v>9</v>
      </c>
      <c r="E69" s="11" t="s">
        <v>10</v>
      </c>
      <c r="F69" s="12">
        <v>1</v>
      </c>
      <c r="G69" s="9" t="s">
        <v>546</v>
      </c>
      <c r="H69" s="9">
        <f t="shared" si="2"/>
        <v>1</v>
      </c>
      <c r="I69" s="9">
        <v>0</v>
      </c>
      <c r="J69" s="11">
        <v>11</v>
      </c>
      <c r="K69" s="11">
        <v>0</v>
      </c>
      <c r="L69" s="9">
        <v>1</v>
      </c>
      <c r="M69" s="9" t="s">
        <v>544</v>
      </c>
      <c r="N69" s="7"/>
      <c r="O69" s="7">
        <v>1</v>
      </c>
      <c r="P69" s="7">
        <v>1</v>
      </c>
      <c r="Q69" s="7">
        <f t="shared" si="3"/>
        <v>0</v>
      </c>
      <c r="R69" s="7">
        <f t="shared" si="4"/>
        <v>11</v>
      </c>
      <c r="S69" s="7">
        <f>K69*O69/P69</f>
        <v>0</v>
      </c>
      <c r="T69" s="7" t="s">
        <v>233</v>
      </c>
      <c r="U69" s="4"/>
    </row>
    <row r="70" spans="1:21" s="5" customFormat="1" x14ac:dyDescent="0.25">
      <c r="A70" s="9" t="s">
        <v>413</v>
      </c>
      <c r="B70" s="9" t="s">
        <v>181</v>
      </c>
      <c r="C70" s="9">
        <v>145</v>
      </c>
      <c r="D70" s="11" t="s">
        <v>11</v>
      </c>
      <c r="E70" s="9" t="s">
        <v>99</v>
      </c>
      <c r="F70" s="10" t="s">
        <v>555</v>
      </c>
      <c r="G70" s="9" t="s">
        <v>546</v>
      </c>
      <c r="H70" s="9">
        <f t="shared" ref="H70:H133" si="5">O70/P70</f>
        <v>1</v>
      </c>
      <c r="I70" s="9">
        <v>0</v>
      </c>
      <c r="J70" s="11">
        <v>2500</v>
      </c>
      <c r="K70" s="11">
        <v>0</v>
      </c>
      <c r="L70" s="9">
        <v>1</v>
      </c>
      <c r="M70" s="9" t="s">
        <v>544</v>
      </c>
      <c r="N70" s="7"/>
      <c r="O70" s="7">
        <v>1</v>
      </c>
      <c r="P70" s="7">
        <v>1</v>
      </c>
      <c r="Q70" s="7">
        <f t="shared" si="3"/>
        <v>0</v>
      </c>
      <c r="R70" s="7">
        <f t="shared" si="4"/>
        <v>2500</v>
      </c>
      <c r="S70" s="7">
        <f>K70*O70/P70</f>
        <v>0</v>
      </c>
      <c r="T70" s="7" t="s">
        <v>234</v>
      </c>
      <c r="U70" s="4"/>
    </row>
    <row r="71" spans="1:21" s="5" customFormat="1" x14ac:dyDescent="0.25">
      <c r="A71" s="9" t="s">
        <v>415</v>
      </c>
      <c r="B71" s="9" t="s">
        <v>182</v>
      </c>
      <c r="C71" s="9">
        <v>146</v>
      </c>
      <c r="D71" s="11" t="s">
        <v>11</v>
      </c>
      <c r="E71" s="9" t="s">
        <v>8</v>
      </c>
      <c r="F71" s="10" t="s">
        <v>542</v>
      </c>
      <c r="G71" s="9" t="s">
        <v>546</v>
      </c>
      <c r="H71" s="9">
        <f t="shared" si="5"/>
        <v>1</v>
      </c>
      <c r="I71" s="9">
        <v>-180</v>
      </c>
      <c r="J71" s="11">
        <v>180</v>
      </c>
      <c r="K71" s="11">
        <v>0</v>
      </c>
      <c r="L71" s="9">
        <v>1</v>
      </c>
      <c r="M71" s="9" t="s">
        <v>544</v>
      </c>
      <c r="N71" s="7"/>
      <c r="O71" s="7">
        <v>1</v>
      </c>
      <c r="P71" s="7">
        <v>1</v>
      </c>
      <c r="Q71" s="7">
        <f t="shared" si="3"/>
        <v>-180</v>
      </c>
      <c r="R71" s="7">
        <f t="shared" si="4"/>
        <v>180</v>
      </c>
      <c r="S71" s="7">
        <f>K71*O71/P71</f>
        <v>0</v>
      </c>
      <c r="T71" s="7" t="s">
        <v>235</v>
      </c>
      <c r="U71" s="4"/>
    </row>
    <row r="72" spans="1:21" s="5" customFormat="1" x14ac:dyDescent="0.25">
      <c r="A72" s="9" t="s">
        <v>416</v>
      </c>
      <c r="B72" s="9" t="s">
        <v>183</v>
      </c>
      <c r="C72" s="9">
        <v>147</v>
      </c>
      <c r="D72" s="11" t="s">
        <v>11</v>
      </c>
      <c r="E72" s="9" t="s">
        <v>99</v>
      </c>
      <c r="F72" s="10" t="s">
        <v>555</v>
      </c>
      <c r="G72" s="9" t="s">
        <v>546</v>
      </c>
      <c r="H72" s="9">
        <f t="shared" si="5"/>
        <v>1</v>
      </c>
      <c r="I72" s="9">
        <v>0</v>
      </c>
      <c r="J72" s="11">
        <v>2500</v>
      </c>
      <c r="K72" s="11">
        <v>0</v>
      </c>
      <c r="L72" s="9">
        <v>1</v>
      </c>
      <c r="M72" s="9" t="s">
        <v>544</v>
      </c>
      <c r="N72" s="7"/>
      <c r="O72" s="7">
        <v>1</v>
      </c>
      <c r="P72" s="7">
        <v>1</v>
      </c>
      <c r="Q72" s="7">
        <f t="shared" si="3"/>
        <v>0</v>
      </c>
      <c r="R72" s="7">
        <f t="shared" si="4"/>
        <v>2500</v>
      </c>
      <c r="S72" s="7">
        <f>K72*O72/P72</f>
        <v>0</v>
      </c>
      <c r="T72" s="7" t="s">
        <v>236</v>
      </c>
      <c r="U72" s="4"/>
    </row>
    <row r="73" spans="1:21" s="5" customFormat="1" x14ac:dyDescent="0.25">
      <c r="A73" s="9" t="s">
        <v>417</v>
      </c>
      <c r="B73" s="9" t="s">
        <v>184</v>
      </c>
      <c r="C73" s="9">
        <v>148</v>
      </c>
      <c r="D73" s="11" t="s">
        <v>11</v>
      </c>
      <c r="E73" s="9" t="s">
        <v>8</v>
      </c>
      <c r="F73" s="10" t="s">
        <v>542</v>
      </c>
      <c r="G73" s="9" t="s">
        <v>546</v>
      </c>
      <c r="H73" s="9">
        <f t="shared" si="5"/>
        <v>1</v>
      </c>
      <c r="I73" s="9">
        <v>-180</v>
      </c>
      <c r="J73" s="11">
        <v>180</v>
      </c>
      <c r="K73" s="11">
        <v>0</v>
      </c>
      <c r="L73" s="9">
        <v>1</v>
      </c>
      <c r="M73" s="9" t="s">
        <v>544</v>
      </c>
      <c r="N73" s="7"/>
      <c r="O73" s="7">
        <v>1</v>
      </c>
      <c r="P73" s="7">
        <v>1</v>
      </c>
      <c r="Q73" s="7">
        <f t="shared" si="3"/>
        <v>-180</v>
      </c>
      <c r="R73" s="7">
        <f t="shared" si="4"/>
        <v>180</v>
      </c>
      <c r="S73" s="7">
        <f>K73*O73/P73</f>
        <v>0</v>
      </c>
      <c r="T73" s="7" t="s">
        <v>235</v>
      </c>
      <c r="U73" s="4"/>
    </row>
    <row r="74" spans="1:21" s="5" customFormat="1" x14ac:dyDescent="0.25">
      <c r="A74" s="9" t="s">
        <v>418</v>
      </c>
      <c r="B74" s="9" t="s">
        <v>185</v>
      </c>
      <c r="C74" s="9">
        <v>149</v>
      </c>
      <c r="D74" s="11" t="s">
        <v>9</v>
      </c>
      <c r="E74" s="9" t="s">
        <v>99</v>
      </c>
      <c r="F74" s="10" t="s">
        <v>555</v>
      </c>
      <c r="G74" s="9" t="s">
        <v>546</v>
      </c>
      <c r="H74" s="9">
        <f t="shared" si="5"/>
        <v>1</v>
      </c>
      <c r="I74" s="9">
        <v>10</v>
      </c>
      <c r="J74" s="11">
        <v>500</v>
      </c>
      <c r="K74" s="11">
        <v>500</v>
      </c>
      <c r="L74" s="9">
        <v>1</v>
      </c>
      <c r="M74" s="9" t="s">
        <v>544</v>
      </c>
      <c r="N74" s="7"/>
      <c r="O74" s="7">
        <v>1</v>
      </c>
      <c r="P74" s="7">
        <v>1</v>
      </c>
      <c r="Q74" s="7">
        <f t="shared" si="3"/>
        <v>10</v>
      </c>
      <c r="R74" s="7">
        <f t="shared" si="4"/>
        <v>500</v>
      </c>
      <c r="S74" s="7">
        <f>K74*O74/P74</f>
        <v>500</v>
      </c>
      <c r="T74" s="7" t="s">
        <v>237</v>
      </c>
      <c r="U74" s="4"/>
    </row>
    <row r="75" spans="1:21" s="5" customFormat="1" x14ac:dyDescent="0.25">
      <c r="A75" s="9" t="s">
        <v>419</v>
      </c>
      <c r="B75" s="9" t="s">
        <v>186</v>
      </c>
      <c r="C75" s="9">
        <v>150</v>
      </c>
      <c r="D75" s="11" t="s">
        <v>9</v>
      </c>
      <c r="E75" s="11" t="s">
        <v>44</v>
      </c>
      <c r="F75" s="12" t="s">
        <v>550</v>
      </c>
      <c r="G75" s="9" t="s">
        <v>546</v>
      </c>
      <c r="H75" s="9">
        <f t="shared" si="5"/>
        <v>0.25</v>
      </c>
      <c r="I75" s="9">
        <v>1</v>
      </c>
      <c r="J75" s="11">
        <v>50</v>
      </c>
      <c r="K75" s="11">
        <v>1</v>
      </c>
      <c r="L75" s="9">
        <v>1</v>
      </c>
      <c r="M75" s="9" t="s">
        <v>544</v>
      </c>
      <c r="N75" s="7"/>
      <c r="O75" s="7">
        <v>1</v>
      </c>
      <c r="P75" s="7">
        <v>4</v>
      </c>
      <c r="Q75" s="7">
        <f t="shared" si="3"/>
        <v>0.25</v>
      </c>
      <c r="R75" s="7">
        <f t="shared" si="4"/>
        <v>12.5</v>
      </c>
      <c r="S75" s="7">
        <f>K75*O75/P75</f>
        <v>0.25</v>
      </c>
      <c r="T75" s="7" t="s">
        <v>238</v>
      </c>
      <c r="U75" s="4"/>
    </row>
    <row r="76" spans="1:21" s="5" customFormat="1" x14ac:dyDescent="0.25">
      <c r="A76" s="9" t="s">
        <v>420</v>
      </c>
      <c r="B76" s="13" t="s">
        <v>187</v>
      </c>
      <c r="C76" s="9">
        <v>151</v>
      </c>
      <c r="D76" s="11" t="s">
        <v>9</v>
      </c>
      <c r="E76" s="9" t="s">
        <v>13</v>
      </c>
      <c r="F76" s="10" t="s">
        <v>548</v>
      </c>
      <c r="G76" s="9" t="s">
        <v>546</v>
      </c>
      <c r="H76" s="9">
        <f t="shared" si="5"/>
        <v>1</v>
      </c>
      <c r="I76" s="9">
        <v>10</v>
      </c>
      <c r="J76" s="11">
        <v>100</v>
      </c>
      <c r="K76" s="11">
        <v>50</v>
      </c>
      <c r="L76" s="9">
        <v>1</v>
      </c>
      <c r="M76" s="9" t="s">
        <v>544</v>
      </c>
      <c r="N76" s="7"/>
      <c r="O76" s="7">
        <v>1</v>
      </c>
      <c r="P76" s="7">
        <v>1</v>
      </c>
      <c r="Q76" s="7">
        <f t="shared" si="3"/>
        <v>10</v>
      </c>
      <c r="R76" s="7">
        <f t="shared" si="4"/>
        <v>100</v>
      </c>
      <c r="S76" s="7">
        <f>K76*O76/P76</f>
        <v>50</v>
      </c>
      <c r="T76" s="7" t="s">
        <v>239</v>
      </c>
      <c r="U76" s="4"/>
    </row>
    <row r="77" spans="1:21" s="5" customFormat="1" x14ac:dyDescent="0.25">
      <c r="A77" s="9" t="s">
        <v>421</v>
      </c>
      <c r="B77" s="9" t="s">
        <v>188</v>
      </c>
      <c r="C77" s="9">
        <v>152</v>
      </c>
      <c r="D77" s="11" t="s">
        <v>9</v>
      </c>
      <c r="E77" s="9" t="s">
        <v>65</v>
      </c>
      <c r="F77" s="10" t="s">
        <v>551</v>
      </c>
      <c r="G77" s="9" t="s">
        <v>546</v>
      </c>
      <c r="H77" s="9">
        <f t="shared" si="5"/>
        <v>1</v>
      </c>
      <c r="I77" s="9">
        <v>1</v>
      </c>
      <c r="J77" s="11">
        <v>500</v>
      </c>
      <c r="K77" s="11">
        <v>100</v>
      </c>
      <c r="L77" s="9">
        <v>1</v>
      </c>
      <c r="M77" s="9" t="s">
        <v>544</v>
      </c>
      <c r="N77" s="7"/>
      <c r="O77" s="7">
        <v>1</v>
      </c>
      <c r="P77" s="7">
        <v>1</v>
      </c>
      <c r="Q77" s="7">
        <f t="shared" si="3"/>
        <v>1</v>
      </c>
      <c r="R77" s="7">
        <f t="shared" si="4"/>
        <v>500</v>
      </c>
      <c r="S77" s="7">
        <f>K77*O77/P77</f>
        <v>100</v>
      </c>
      <c r="T77" s="7" t="s">
        <v>240</v>
      </c>
      <c r="U77" s="4"/>
    </row>
    <row r="78" spans="1:21" s="5" customFormat="1" x14ac:dyDescent="0.25">
      <c r="A78" s="9" t="s">
        <v>422</v>
      </c>
      <c r="B78" s="9" t="s">
        <v>597</v>
      </c>
      <c r="C78" s="9">
        <v>153</v>
      </c>
      <c r="D78" s="11" t="s">
        <v>11</v>
      </c>
      <c r="E78" s="9" t="s">
        <v>241</v>
      </c>
      <c r="F78" s="10" t="s">
        <v>557</v>
      </c>
      <c r="G78" s="9" t="s">
        <v>546</v>
      </c>
      <c r="H78" s="9">
        <f t="shared" si="5"/>
        <v>1</v>
      </c>
      <c r="I78" s="9">
        <v>0</v>
      </c>
      <c r="J78" s="11">
        <v>2500</v>
      </c>
      <c r="K78" s="11">
        <v>0</v>
      </c>
      <c r="L78" s="9">
        <v>1</v>
      </c>
      <c r="M78" s="9" t="s">
        <v>544</v>
      </c>
      <c r="N78" s="7"/>
      <c r="O78" s="7">
        <v>1</v>
      </c>
      <c r="P78" s="7">
        <v>1</v>
      </c>
      <c r="Q78" s="7">
        <f t="shared" si="3"/>
        <v>0</v>
      </c>
      <c r="R78" s="7">
        <f t="shared" si="4"/>
        <v>2500</v>
      </c>
      <c r="S78" s="7">
        <f>K78*O78/P78</f>
        <v>0</v>
      </c>
      <c r="T78" s="7" t="s">
        <v>242</v>
      </c>
      <c r="U78" s="4"/>
    </row>
    <row r="79" spans="1:21" s="5" customFormat="1" x14ac:dyDescent="0.25">
      <c r="A79" s="9" t="s">
        <v>423</v>
      </c>
      <c r="B79" s="9" t="s">
        <v>558</v>
      </c>
      <c r="C79" s="9">
        <v>154</v>
      </c>
      <c r="D79" s="11" t="s">
        <v>11</v>
      </c>
      <c r="E79" s="9" t="s">
        <v>99</v>
      </c>
      <c r="F79" s="10" t="s">
        <v>555</v>
      </c>
      <c r="G79" s="9" t="s">
        <v>546</v>
      </c>
      <c r="H79" s="9">
        <f t="shared" si="5"/>
        <v>1</v>
      </c>
      <c r="I79" s="9"/>
      <c r="J79" s="11">
        <v>2500</v>
      </c>
      <c r="K79" s="11">
        <v>0</v>
      </c>
      <c r="L79" s="9">
        <v>1</v>
      </c>
      <c r="M79" s="9" t="s">
        <v>544</v>
      </c>
      <c r="N79" s="7"/>
      <c r="O79" s="7">
        <v>1</v>
      </c>
      <c r="P79" s="7">
        <v>1</v>
      </c>
      <c r="Q79" s="7">
        <f t="shared" si="3"/>
        <v>0</v>
      </c>
      <c r="R79" s="7">
        <f t="shared" si="4"/>
        <v>2500</v>
      </c>
      <c r="S79" s="7">
        <f>K79*O79/P79</f>
        <v>0</v>
      </c>
      <c r="T79" s="7" t="s">
        <v>243</v>
      </c>
      <c r="U79" s="4"/>
    </row>
    <row r="80" spans="1:21" s="5" customFormat="1" x14ac:dyDescent="0.25">
      <c r="A80" s="9" t="s">
        <v>424</v>
      </c>
      <c r="B80" s="9" t="s">
        <v>189</v>
      </c>
      <c r="C80" s="9">
        <v>155</v>
      </c>
      <c r="D80" s="11" t="s">
        <v>9</v>
      </c>
      <c r="E80" s="9" t="s">
        <v>10</v>
      </c>
      <c r="F80" s="10">
        <v>1</v>
      </c>
      <c r="G80" s="9" t="s">
        <v>546</v>
      </c>
      <c r="H80" s="9">
        <f t="shared" si="5"/>
        <v>1</v>
      </c>
      <c r="I80" s="9">
        <v>0</v>
      </c>
      <c r="J80" s="11">
        <v>59</v>
      </c>
      <c r="K80" s="11">
        <v>0</v>
      </c>
      <c r="L80" s="9">
        <v>1</v>
      </c>
      <c r="M80" s="9" t="s">
        <v>544</v>
      </c>
      <c r="N80" s="7"/>
      <c r="O80" s="7">
        <v>1</v>
      </c>
      <c r="P80" s="7">
        <v>1</v>
      </c>
      <c r="Q80" s="7">
        <f t="shared" si="3"/>
        <v>0</v>
      </c>
      <c r="R80" s="7">
        <f t="shared" si="4"/>
        <v>59</v>
      </c>
      <c r="S80" s="7">
        <f>K80*O80/P80</f>
        <v>0</v>
      </c>
      <c r="T80" s="8"/>
      <c r="U80" s="4"/>
    </row>
    <row r="81" spans="1:21" s="5" customFormat="1" x14ac:dyDescent="0.25">
      <c r="A81" s="9" t="s">
        <v>425</v>
      </c>
      <c r="B81" s="9" t="s">
        <v>190</v>
      </c>
      <c r="C81" s="9">
        <v>156</v>
      </c>
      <c r="D81" s="11" t="s">
        <v>9</v>
      </c>
      <c r="E81" s="9" t="s">
        <v>10</v>
      </c>
      <c r="F81" s="10">
        <v>1</v>
      </c>
      <c r="G81" s="9" t="s">
        <v>546</v>
      </c>
      <c r="H81" s="9">
        <f t="shared" si="5"/>
        <v>1</v>
      </c>
      <c r="I81" s="9">
        <v>0</v>
      </c>
      <c r="J81" s="11">
        <v>59</v>
      </c>
      <c r="K81" s="11">
        <v>0</v>
      </c>
      <c r="L81" s="9">
        <v>1</v>
      </c>
      <c r="M81" s="9" t="s">
        <v>544</v>
      </c>
      <c r="N81" s="7"/>
      <c r="O81" s="7">
        <v>1</v>
      </c>
      <c r="P81" s="7">
        <v>1</v>
      </c>
      <c r="Q81" s="7">
        <f t="shared" si="3"/>
        <v>0</v>
      </c>
      <c r="R81" s="7">
        <f t="shared" si="4"/>
        <v>59</v>
      </c>
      <c r="S81" s="7">
        <f>K81*O81/P81</f>
        <v>0</v>
      </c>
      <c r="T81" s="8"/>
      <c r="U81" s="4"/>
    </row>
    <row r="82" spans="1:21" s="5" customFormat="1" x14ac:dyDescent="0.25">
      <c r="A82" s="9" t="s">
        <v>426</v>
      </c>
      <c r="B82" s="9" t="s">
        <v>191</v>
      </c>
      <c r="C82" s="9">
        <v>157</v>
      </c>
      <c r="D82" s="11" t="s">
        <v>9</v>
      </c>
      <c r="E82" s="9" t="s">
        <v>10</v>
      </c>
      <c r="F82" s="10">
        <v>1</v>
      </c>
      <c r="G82" s="9" t="s">
        <v>546</v>
      </c>
      <c r="H82" s="9">
        <f t="shared" si="5"/>
        <v>1</v>
      </c>
      <c r="I82" s="9">
        <v>0</v>
      </c>
      <c r="J82" s="11">
        <v>23</v>
      </c>
      <c r="K82" s="11">
        <v>0</v>
      </c>
      <c r="L82" s="9">
        <v>1</v>
      </c>
      <c r="M82" s="9" t="s">
        <v>544</v>
      </c>
      <c r="N82" s="7"/>
      <c r="O82" s="7">
        <v>1</v>
      </c>
      <c r="P82" s="7">
        <v>1</v>
      </c>
      <c r="Q82" s="7">
        <f t="shared" si="3"/>
        <v>0</v>
      </c>
      <c r="R82" s="7">
        <f t="shared" si="4"/>
        <v>23</v>
      </c>
      <c r="S82" s="7">
        <f>K82*O82/P82</f>
        <v>0</v>
      </c>
      <c r="T82" s="8"/>
      <c r="U82" s="4"/>
    </row>
    <row r="83" spans="1:21" s="5" customFormat="1" x14ac:dyDescent="0.25">
      <c r="A83" s="9" t="s">
        <v>427</v>
      </c>
      <c r="B83" s="9" t="s">
        <v>192</v>
      </c>
      <c r="C83" s="9">
        <v>158</v>
      </c>
      <c r="D83" s="11" t="s">
        <v>9</v>
      </c>
      <c r="E83" s="9" t="s">
        <v>10</v>
      </c>
      <c r="F83" s="10">
        <v>1</v>
      </c>
      <c r="G83" s="9" t="s">
        <v>546</v>
      </c>
      <c r="H83" s="9">
        <f t="shared" si="5"/>
        <v>1</v>
      </c>
      <c r="I83" s="9">
        <v>1</v>
      </c>
      <c r="J83" s="11">
        <v>31</v>
      </c>
      <c r="K83" s="11">
        <v>1</v>
      </c>
      <c r="L83" s="9">
        <v>1</v>
      </c>
      <c r="M83" s="9" t="s">
        <v>544</v>
      </c>
      <c r="N83" s="7"/>
      <c r="O83" s="7">
        <v>1</v>
      </c>
      <c r="P83" s="7">
        <v>1</v>
      </c>
      <c r="Q83" s="7">
        <f t="shared" si="3"/>
        <v>1</v>
      </c>
      <c r="R83" s="7">
        <f t="shared" si="4"/>
        <v>31</v>
      </c>
      <c r="S83" s="7">
        <f>K83*O83/P83</f>
        <v>1</v>
      </c>
      <c r="T83" s="8"/>
      <c r="U83" s="4"/>
    </row>
    <row r="84" spans="1:21" s="5" customFormat="1" x14ac:dyDescent="0.25">
      <c r="A84" s="9" t="s">
        <v>428</v>
      </c>
      <c r="B84" s="9" t="s">
        <v>193</v>
      </c>
      <c r="C84" s="9">
        <v>159</v>
      </c>
      <c r="D84" s="11" t="s">
        <v>9</v>
      </c>
      <c r="E84" s="9" t="s">
        <v>10</v>
      </c>
      <c r="F84" s="10">
        <v>1</v>
      </c>
      <c r="G84" s="9" t="s">
        <v>546</v>
      </c>
      <c r="H84" s="9">
        <f t="shared" si="5"/>
        <v>1</v>
      </c>
      <c r="I84" s="9">
        <v>1</v>
      </c>
      <c r="J84" s="11">
        <v>12</v>
      </c>
      <c r="K84" s="11">
        <v>1</v>
      </c>
      <c r="L84" s="9">
        <v>1</v>
      </c>
      <c r="M84" s="9" t="s">
        <v>544</v>
      </c>
      <c r="N84" s="7"/>
      <c r="O84" s="7">
        <v>1</v>
      </c>
      <c r="P84" s="7">
        <v>1</v>
      </c>
      <c r="Q84" s="7">
        <f t="shared" si="3"/>
        <v>1</v>
      </c>
      <c r="R84" s="7">
        <f t="shared" si="4"/>
        <v>12</v>
      </c>
      <c r="S84" s="7">
        <f>K84*O84/P84</f>
        <v>1</v>
      </c>
      <c r="T84" s="8"/>
      <c r="U84" s="4"/>
    </row>
    <row r="85" spans="1:21" s="5" customFormat="1" x14ac:dyDescent="0.25">
      <c r="A85" s="9" t="s">
        <v>429</v>
      </c>
      <c r="B85" s="9" t="s">
        <v>194</v>
      </c>
      <c r="C85" s="9">
        <v>160</v>
      </c>
      <c r="D85" s="11" t="s">
        <v>9</v>
      </c>
      <c r="E85" s="9" t="s">
        <v>10</v>
      </c>
      <c r="F85" s="10">
        <v>1</v>
      </c>
      <c r="G85" s="9" t="s">
        <v>546</v>
      </c>
      <c r="H85" s="9">
        <f t="shared" si="5"/>
        <v>1</v>
      </c>
      <c r="I85" s="9">
        <v>2010</v>
      </c>
      <c r="J85" s="11">
        <v>2030</v>
      </c>
      <c r="K85" s="11">
        <v>2013</v>
      </c>
      <c r="L85" s="9">
        <v>1</v>
      </c>
      <c r="M85" s="9" t="s">
        <v>544</v>
      </c>
      <c r="N85" s="7"/>
      <c r="O85" s="7">
        <v>1</v>
      </c>
      <c r="P85" s="7">
        <v>1</v>
      </c>
      <c r="Q85" s="7">
        <f t="shared" si="3"/>
        <v>2010</v>
      </c>
      <c r="R85" s="7">
        <f t="shared" si="4"/>
        <v>2030</v>
      </c>
      <c r="S85" s="7">
        <f>K85*O85/P85</f>
        <v>2013</v>
      </c>
      <c r="T85" s="8"/>
      <c r="U85" s="4"/>
    </row>
    <row r="86" spans="1:21" s="5" customFormat="1" x14ac:dyDescent="0.25">
      <c r="A86" s="9" t="s">
        <v>430</v>
      </c>
      <c r="B86" s="9" t="s">
        <v>195</v>
      </c>
      <c r="C86" s="9">
        <v>161</v>
      </c>
      <c r="D86" s="11" t="s">
        <v>9</v>
      </c>
      <c r="E86" s="9" t="s">
        <v>226</v>
      </c>
      <c r="F86" s="10">
        <v>1</v>
      </c>
      <c r="G86" s="9" t="s">
        <v>546</v>
      </c>
      <c r="H86" s="9">
        <f t="shared" si="5"/>
        <v>1</v>
      </c>
      <c r="I86" s="9">
        <v>20</v>
      </c>
      <c r="J86" s="11">
        <v>150</v>
      </c>
      <c r="K86" s="11">
        <v>100</v>
      </c>
      <c r="L86" s="9">
        <v>1</v>
      </c>
      <c r="M86" s="9" t="s">
        <v>544</v>
      </c>
      <c r="N86" s="7"/>
      <c r="O86" s="7">
        <v>1</v>
      </c>
      <c r="P86" s="7">
        <v>1</v>
      </c>
      <c r="Q86" s="7">
        <f t="shared" si="3"/>
        <v>20</v>
      </c>
      <c r="R86" s="7">
        <f t="shared" si="4"/>
        <v>150</v>
      </c>
      <c r="S86" s="7">
        <f>K86*O86/P86</f>
        <v>100</v>
      </c>
      <c r="T86" s="8" t="s">
        <v>244</v>
      </c>
      <c r="U86" s="4"/>
    </row>
    <row r="87" spans="1:21" s="5" customFormat="1" x14ac:dyDescent="0.25">
      <c r="A87" s="9" t="s">
        <v>431</v>
      </c>
      <c r="B87" s="9" t="s">
        <v>196</v>
      </c>
      <c r="C87" s="9">
        <v>162</v>
      </c>
      <c r="D87" s="11" t="s">
        <v>9</v>
      </c>
      <c r="E87" s="9" t="s">
        <v>226</v>
      </c>
      <c r="F87" s="10">
        <v>1</v>
      </c>
      <c r="G87" s="9" t="s">
        <v>546</v>
      </c>
      <c r="H87" s="9">
        <f t="shared" si="5"/>
        <v>1</v>
      </c>
      <c r="I87" s="9">
        <v>20</v>
      </c>
      <c r="J87" s="11">
        <v>60</v>
      </c>
      <c r="K87" s="11">
        <v>25</v>
      </c>
      <c r="L87" s="9">
        <v>1</v>
      </c>
      <c r="M87" s="9" t="s">
        <v>544</v>
      </c>
      <c r="N87" s="7"/>
      <c r="O87" s="7">
        <v>1</v>
      </c>
      <c r="P87" s="7">
        <v>1</v>
      </c>
      <c r="Q87" s="7">
        <f t="shared" si="3"/>
        <v>20</v>
      </c>
      <c r="R87" s="7">
        <f t="shared" si="4"/>
        <v>60</v>
      </c>
      <c r="S87" s="7">
        <f>K87*O87/P87</f>
        <v>25</v>
      </c>
      <c r="T87" s="8" t="s">
        <v>245</v>
      </c>
      <c r="U87" s="4"/>
    </row>
    <row r="88" spans="1:21" s="5" customFormat="1" x14ac:dyDescent="0.25">
      <c r="A88" s="9" t="s">
        <v>432</v>
      </c>
      <c r="B88" s="9" t="s">
        <v>197</v>
      </c>
      <c r="C88" s="9">
        <v>163</v>
      </c>
      <c r="D88" s="11" t="s">
        <v>11</v>
      </c>
      <c r="E88" s="9" t="s">
        <v>212</v>
      </c>
      <c r="F88" s="10" t="s">
        <v>556</v>
      </c>
      <c r="G88" s="9" t="s">
        <v>546</v>
      </c>
      <c r="H88" s="9">
        <f>O88/P88</f>
        <v>1E-3</v>
      </c>
      <c r="I88" s="9">
        <v>0</v>
      </c>
      <c r="J88" s="11">
        <v>4095</v>
      </c>
      <c r="K88" s="11">
        <v>0</v>
      </c>
      <c r="L88" s="9">
        <v>1</v>
      </c>
      <c r="M88" s="9" t="s">
        <v>544</v>
      </c>
      <c r="N88" s="7"/>
      <c r="O88" s="7">
        <v>1</v>
      </c>
      <c r="P88" s="7">
        <v>1000</v>
      </c>
      <c r="Q88" s="7">
        <f t="shared" si="3"/>
        <v>0</v>
      </c>
      <c r="R88" s="7">
        <f t="shared" si="4"/>
        <v>4.0949999999999998</v>
      </c>
      <c r="S88" s="7">
        <f>K88*O88/P88</f>
        <v>0</v>
      </c>
      <c r="T88" s="8" t="s">
        <v>246</v>
      </c>
      <c r="U88" s="4"/>
    </row>
    <row r="89" spans="1:21" s="5" customFormat="1" x14ac:dyDescent="0.25">
      <c r="A89" s="9" t="s">
        <v>433</v>
      </c>
      <c r="B89" s="9" t="s">
        <v>434</v>
      </c>
      <c r="C89" s="9">
        <v>164</v>
      </c>
      <c r="D89" s="11" t="s">
        <v>11</v>
      </c>
      <c r="E89" s="9" t="s">
        <v>10</v>
      </c>
      <c r="F89" s="10">
        <v>1</v>
      </c>
      <c r="G89" s="9" t="s">
        <v>546</v>
      </c>
      <c r="H89" s="9">
        <f t="shared" si="5"/>
        <v>1</v>
      </c>
      <c r="I89" s="9">
        <v>0</v>
      </c>
      <c r="J89" s="11">
        <v>1023</v>
      </c>
      <c r="K89" s="11">
        <v>0</v>
      </c>
      <c r="L89" s="9">
        <v>1</v>
      </c>
      <c r="M89" s="9" t="s">
        <v>544</v>
      </c>
      <c r="N89" s="7"/>
      <c r="O89" s="7">
        <v>1</v>
      </c>
      <c r="P89" s="7">
        <v>1</v>
      </c>
      <c r="Q89" s="7">
        <f t="shared" si="3"/>
        <v>0</v>
      </c>
      <c r="R89" s="7">
        <f t="shared" si="4"/>
        <v>1023</v>
      </c>
      <c r="S89" s="7">
        <f>K89*O89/P89</f>
        <v>0</v>
      </c>
      <c r="T89" s="8" t="s">
        <v>435</v>
      </c>
      <c r="U89" s="4"/>
    </row>
    <row r="90" spans="1:21" s="5" customFormat="1" x14ac:dyDescent="0.25">
      <c r="A90" s="9" t="s">
        <v>436</v>
      </c>
      <c r="B90" s="9" t="s">
        <v>198</v>
      </c>
      <c r="C90" s="9">
        <v>165</v>
      </c>
      <c r="D90" s="11" t="s">
        <v>11</v>
      </c>
      <c r="E90" s="9" t="s">
        <v>10</v>
      </c>
      <c r="F90" s="10">
        <v>1</v>
      </c>
      <c r="G90" s="9" t="s">
        <v>546</v>
      </c>
      <c r="H90" s="9">
        <f t="shared" si="5"/>
        <v>1</v>
      </c>
      <c r="I90" s="9">
        <v>0</v>
      </c>
      <c r="J90" s="11">
        <v>65535</v>
      </c>
      <c r="K90" s="11">
        <v>0</v>
      </c>
      <c r="L90" s="9">
        <v>1</v>
      </c>
      <c r="M90" s="9" t="s">
        <v>544</v>
      </c>
      <c r="N90" s="7"/>
      <c r="O90" s="7">
        <v>1</v>
      </c>
      <c r="P90" s="7">
        <v>1</v>
      </c>
      <c r="Q90" s="7">
        <f t="shared" si="3"/>
        <v>0</v>
      </c>
      <c r="R90" s="7">
        <f t="shared" si="4"/>
        <v>65535</v>
      </c>
      <c r="S90" s="7">
        <f>K90*O90/P90</f>
        <v>0</v>
      </c>
      <c r="T90" s="8" t="s">
        <v>247</v>
      </c>
      <c r="U90" s="4"/>
    </row>
    <row r="91" spans="1:21" s="5" customFormat="1" x14ac:dyDescent="0.25">
      <c r="A91" s="9" t="s">
        <v>437</v>
      </c>
      <c r="B91" s="9" t="s">
        <v>199</v>
      </c>
      <c r="C91" s="9">
        <v>166</v>
      </c>
      <c r="D91" s="11" t="s">
        <v>9</v>
      </c>
      <c r="E91" s="9" t="s">
        <v>44</v>
      </c>
      <c r="F91" s="10" t="s">
        <v>550</v>
      </c>
      <c r="G91" s="9" t="s">
        <v>546</v>
      </c>
      <c r="H91" s="9">
        <f t="shared" si="5"/>
        <v>1</v>
      </c>
      <c r="I91" s="9">
        <v>1</v>
      </c>
      <c r="J91" s="11">
        <v>60</v>
      </c>
      <c r="K91" s="11">
        <v>25</v>
      </c>
      <c r="L91" s="9">
        <v>1</v>
      </c>
      <c r="M91" s="9" t="s">
        <v>544</v>
      </c>
      <c r="N91" s="7"/>
      <c r="O91" s="7">
        <v>1</v>
      </c>
      <c r="P91" s="7">
        <v>1</v>
      </c>
      <c r="Q91" s="7">
        <f t="shared" si="3"/>
        <v>1</v>
      </c>
      <c r="R91" s="7">
        <f t="shared" si="4"/>
        <v>60</v>
      </c>
      <c r="S91" s="7">
        <f>K91*O91/P91</f>
        <v>25</v>
      </c>
      <c r="T91" s="8" t="s">
        <v>248</v>
      </c>
      <c r="U91" s="4"/>
    </row>
    <row r="92" spans="1:21" s="5" customFormat="1" x14ac:dyDescent="0.25">
      <c r="A92" s="9" t="s">
        <v>438</v>
      </c>
      <c r="B92" s="9" t="s">
        <v>200</v>
      </c>
      <c r="C92" s="9">
        <v>167</v>
      </c>
      <c r="D92" s="11" t="s">
        <v>9</v>
      </c>
      <c r="E92" s="9" t="s">
        <v>65</v>
      </c>
      <c r="F92" s="10" t="s">
        <v>551</v>
      </c>
      <c r="G92" s="9" t="s">
        <v>546</v>
      </c>
      <c r="H92" s="9">
        <f t="shared" si="5"/>
        <v>1</v>
      </c>
      <c r="I92" s="9">
        <v>0</v>
      </c>
      <c r="J92" s="11">
        <v>15</v>
      </c>
      <c r="K92" s="11">
        <v>0</v>
      </c>
      <c r="L92" s="9">
        <v>1</v>
      </c>
      <c r="M92" s="9" t="s">
        <v>544</v>
      </c>
      <c r="N92" s="7"/>
      <c r="O92" s="7">
        <v>1</v>
      </c>
      <c r="P92" s="7">
        <v>1</v>
      </c>
      <c r="Q92" s="7">
        <f t="shared" si="3"/>
        <v>0</v>
      </c>
      <c r="R92" s="7">
        <f t="shared" si="4"/>
        <v>15</v>
      </c>
      <c r="S92" s="7">
        <f>K92*O92/P92</f>
        <v>0</v>
      </c>
      <c r="T92" s="8" t="s">
        <v>249</v>
      </c>
      <c r="U92" s="4"/>
    </row>
    <row r="93" spans="1:21" s="5" customFormat="1" x14ac:dyDescent="0.25">
      <c r="A93" s="9" t="s">
        <v>439</v>
      </c>
      <c r="B93" s="9" t="s">
        <v>201</v>
      </c>
      <c r="C93" s="9">
        <v>168</v>
      </c>
      <c r="D93" s="11" t="s">
        <v>9</v>
      </c>
      <c r="E93" s="9" t="s">
        <v>44</v>
      </c>
      <c r="F93" s="10" t="s">
        <v>550</v>
      </c>
      <c r="G93" s="9" t="s">
        <v>546</v>
      </c>
      <c r="H93" s="9">
        <f t="shared" si="5"/>
        <v>1</v>
      </c>
      <c r="I93" s="9">
        <v>0</v>
      </c>
      <c r="J93" s="11">
        <v>50</v>
      </c>
      <c r="K93" s="11">
        <v>10</v>
      </c>
      <c r="L93" s="9">
        <v>1</v>
      </c>
      <c r="M93" s="9" t="s">
        <v>544</v>
      </c>
      <c r="N93" s="7"/>
      <c r="O93" s="7">
        <v>1</v>
      </c>
      <c r="P93" s="7">
        <v>1</v>
      </c>
      <c r="Q93" s="7">
        <f t="shared" si="3"/>
        <v>0</v>
      </c>
      <c r="R93" s="7">
        <f t="shared" si="4"/>
        <v>50</v>
      </c>
      <c r="S93" s="7">
        <f>K93*O93/P93</f>
        <v>10</v>
      </c>
      <c r="T93" s="8" t="s">
        <v>250</v>
      </c>
      <c r="U93" s="4"/>
    </row>
    <row r="94" spans="1:21" s="5" customFormat="1" x14ac:dyDescent="0.25">
      <c r="A94" s="9" t="s">
        <v>440</v>
      </c>
      <c r="B94" s="9" t="s">
        <v>202</v>
      </c>
      <c r="C94" s="9">
        <v>169</v>
      </c>
      <c r="D94" s="11" t="s">
        <v>9</v>
      </c>
      <c r="E94" s="9" t="s">
        <v>65</v>
      </c>
      <c r="F94" s="10" t="s">
        <v>551</v>
      </c>
      <c r="G94" s="9" t="s">
        <v>546</v>
      </c>
      <c r="H94" s="9">
        <f t="shared" si="5"/>
        <v>1</v>
      </c>
      <c r="I94" s="9">
        <v>0</v>
      </c>
      <c r="J94" s="11">
        <v>15</v>
      </c>
      <c r="K94" s="11">
        <v>0</v>
      </c>
      <c r="L94" s="9">
        <v>1</v>
      </c>
      <c r="M94" s="9" t="s">
        <v>544</v>
      </c>
      <c r="N94" s="7"/>
      <c r="O94" s="7">
        <v>1</v>
      </c>
      <c r="P94" s="7">
        <v>1</v>
      </c>
      <c r="Q94" s="7">
        <f t="shared" si="3"/>
        <v>0</v>
      </c>
      <c r="R94" s="7">
        <f t="shared" si="4"/>
        <v>15</v>
      </c>
      <c r="S94" s="7">
        <f>K94*O94/P94</f>
        <v>0</v>
      </c>
      <c r="T94" s="8" t="s">
        <v>251</v>
      </c>
      <c r="U94" s="4"/>
    </row>
    <row r="95" spans="1:21" s="5" customFormat="1" x14ac:dyDescent="0.25">
      <c r="A95" s="9" t="s">
        <v>441</v>
      </c>
      <c r="B95" s="9" t="s">
        <v>203</v>
      </c>
      <c r="C95" s="9">
        <v>170</v>
      </c>
      <c r="D95" s="11" t="s">
        <v>9</v>
      </c>
      <c r="E95" s="9" t="s">
        <v>44</v>
      </c>
      <c r="F95" s="10" t="s">
        <v>550</v>
      </c>
      <c r="G95" s="9" t="s">
        <v>546</v>
      </c>
      <c r="H95" s="9">
        <f t="shared" si="5"/>
        <v>1</v>
      </c>
      <c r="I95" s="9">
        <v>0</v>
      </c>
      <c r="J95" s="11">
        <v>50</v>
      </c>
      <c r="K95" s="11">
        <v>10</v>
      </c>
      <c r="L95" s="9">
        <v>1</v>
      </c>
      <c r="M95" s="9" t="s">
        <v>544</v>
      </c>
      <c r="N95" s="7"/>
      <c r="O95" s="7">
        <v>1</v>
      </c>
      <c r="P95" s="7">
        <v>1</v>
      </c>
      <c r="Q95" s="7">
        <f t="shared" si="3"/>
        <v>0</v>
      </c>
      <c r="R95" s="7">
        <f t="shared" si="4"/>
        <v>50</v>
      </c>
      <c r="S95" s="7">
        <f>K95*O95/P95</f>
        <v>10</v>
      </c>
      <c r="T95" s="8" t="s">
        <v>252</v>
      </c>
      <c r="U95" s="4"/>
    </row>
    <row r="96" spans="1:21" s="5" customFormat="1" x14ac:dyDescent="0.25">
      <c r="A96" s="9" t="s">
        <v>442</v>
      </c>
      <c r="B96" s="13" t="s">
        <v>204</v>
      </c>
      <c r="C96" s="9">
        <v>171</v>
      </c>
      <c r="D96" s="11" t="s">
        <v>11</v>
      </c>
      <c r="E96" s="11" t="s">
        <v>10</v>
      </c>
      <c r="F96" s="12">
        <v>1</v>
      </c>
      <c r="G96" s="9" t="s">
        <v>546</v>
      </c>
      <c r="H96" s="9">
        <f t="shared" si="5"/>
        <v>1</v>
      </c>
      <c r="I96" s="9">
        <v>0</v>
      </c>
      <c r="J96" s="11">
        <v>65535</v>
      </c>
      <c r="K96" s="11">
        <v>0</v>
      </c>
      <c r="L96" s="9">
        <v>1</v>
      </c>
      <c r="M96" s="9" t="s">
        <v>544</v>
      </c>
      <c r="N96" s="7"/>
      <c r="O96" s="8">
        <v>1</v>
      </c>
      <c r="P96" s="8">
        <v>1</v>
      </c>
      <c r="Q96" s="7">
        <f t="shared" si="3"/>
        <v>0</v>
      </c>
      <c r="R96" s="7">
        <f t="shared" si="4"/>
        <v>65535</v>
      </c>
      <c r="S96" s="7">
        <f>K96*O96/P96</f>
        <v>0</v>
      </c>
      <c r="T96" s="8"/>
      <c r="U96" s="4"/>
    </row>
    <row r="97" spans="1:21" s="5" customFormat="1" x14ac:dyDescent="0.25">
      <c r="A97" s="9" t="s">
        <v>443</v>
      </c>
      <c r="B97" s="9" t="s">
        <v>205</v>
      </c>
      <c r="C97" s="9">
        <v>172</v>
      </c>
      <c r="D97" s="11" t="s">
        <v>11</v>
      </c>
      <c r="E97" s="11" t="s">
        <v>10</v>
      </c>
      <c r="F97" s="12">
        <v>1</v>
      </c>
      <c r="G97" s="9" t="s">
        <v>546</v>
      </c>
      <c r="H97" s="9">
        <f t="shared" si="5"/>
        <v>1</v>
      </c>
      <c r="I97" s="9">
        <v>0</v>
      </c>
      <c r="J97" s="11">
        <v>65535</v>
      </c>
      <c r="K97" s="11">
        <v>0</v>
      </c>
      <c r="L97" s="9">
        <v>1</v>
      </c>
      <c r="M97" s="9" t="s">
        <v>544</v>
      </c>
      <c r="N97" s="7"/>
      <c r="O97" s="8">
        <v>1</v>
      </c>
      <c r="P97" s="8">
        <v>1</v>
      </c>
      <c r="Q97" s="7">
        <f t="shared" si="3"/>
        <v>0</v>
      </c>
      <c r="R97" s="7">
        <f t="shared" si="4"/>
        <v>65535</v>
      </c>
      <c r="S97" s="7">
        <f>K97*O97/P97</f>
        <v>0</v>
      </c>
      <c r="T97" s="8"/>
      <c r="U97" s="4"/>
    </row>
    <row r="98" spans="1:21" s="5" customFormat="1" x14ac:dyDescent="0.25">
      <c r="A98" s="9" t="s">
        <v>444</v>
      </c>
      <c r="B98" s="9" t="s">
        <v>206</v>
      </c>
      <c r="C98" s="9">
        <v>173</v>
      </c>
      <c r="D98" s="11" t="s">
        <v>11</v>
      </c>
      <c r="E98" s="11" t="s">
        <v>10</v>
      </c>
      <c r="F98" s="12">
        <v>1</v>
      </c>
      <c r="G98" s="9" t="s">
        <v>546</v>
      </c>
      <c r="H98" s="9">
        <f t="shared" si="5"/>
        <v>1</v>
      </c>
      <c r="I98" s="9">
        <v>0</v>
      </c>
      <c r="J98" s="11">
        <v>65535</v>
      </c>
      <c r="K98" s="11">
        <v>0</v>
      </c>
      <c r="L98" s="9">
        <v>1</v>
      </c>
      <c r="M98" s="9" t="s">
        <v>544</v>
      </c>
      <c r="N98" s="7"/>
      <c r="O98" s="8">
        <v>1</v>
      </c>
      <c r="P98" s="8">
        <v>1</v>
      </c>
      <c r="Q98" s="7">
        <f t="shared" si="3"/>
        <v>0</v>
      </c>
      <c r="R98" s="7">
        <f t="shared" si="4"/>
        <v>65535</v>
      </c>
      <c r="S98" s="7">
        <f>K98*O98/P98</f>
        <v>0</v>
      </c>
      <c r="T98" s="8"/>
      <c r="U98" s="4"/>
    </row>
    <row r="99" spans="1:21" s="5" customFormat="1" x14ac:dyDescent="0.25">
      <c r="A99" s="9" t="s">
        <v>445</v>
      </c>
      <c r="B99" s="9" t="s">
        <v>207</v>
      </c>
      <c r="C99" s="9">
        <v>174</v>
      </c>
      <c r="D99" s="11" t="s">
        <v>9</v>
      </c>
      <c r="E99" s="11" t="s">
        <v>65</v>
      </c>
      <c r="F99" s="12" t="s">
        <v>551</v>
      </c>
      <c r="G99" s="9" t="s">
        <v>546</v>
      </c>
      <c r="H99" s="9">
        <f t="shared" si="5"/>
        <v>3.125E-2</v>
      </c>
      <c r="I99" s="9">
        <v>1</v>
      </c>
      <c r="J99" s="11">
        <v>320</v>
      </c>
      <c r="K99" s="11">
        <v>32</v>
      </c>
      <c r="L99" s="9">
        <v>1</v>
      </c>
      <c r="M99" s="9" t="s">
        <v>544</v>
      </c>
      <c r="N99" s="7"/>
      <c r="O99" s="8">
        <v>500</v>
      </c>
      <c r="P99" s="8">
        <v>16000</v>
      </c>
      <c r="Q99" s="7">
        <f t="shared" si="3"/>
        <v>3.125E-2</v>
      </c>
      <c r="R99" s="7">
        <f t="shared" si="4"/>
        <v>10</v>
      </c>
      <c r="S99" s="7">
        <f>K99*O99/P99</f>
        <v>1</v>
      </c>
      <c r="T99" s="8" t="s">
        <v>253</v>
      </c>
      <c r="U99" s="4"/>
    </row>
    <row r="100" spans="1:21" s="5" customFormat="1" x14ac:dyDescent="0.25">
      <c r="A100" s="9" t="s">
        <v>446</v>
      </c>
      <c r="B100" s="9" t="s">
        <v>208</v>
      </c>
      <c r="C100" s="9">
        <v>175</v>
      </c>
      <c r="D100" s="11" t="s">
        <v>11</v>
      </c>
      <c r="E100" s="11" t="s">
        <v>99</v>
      </c>
      <c r="F100" s="12" t="s">
        <v>555</v>
      </c>
      <c r="G100" s="9" t="s">
        <v>546</v>
      </c>
      <c r="H100" s="9">
        <f t="shared" si="5"/>
        <v>1</v>
      </c>
      <c r="I100" s="9">
        <v>0</v>
      </c>
      <c r="J100" s="11">
        <v>2500</v>
      </c>
      <c r="K100" s="11">
        <v>0</v>
      </c>
      <c r="L100" s="9">
        <v>1</v>
      </c>
      <c r="M100" s="9" t="s">
        <v>544</v>
      </c>
      <c r="N100" s="7"/>
      <c r="O100" s="8">
        <v>1</v>
      </c>
      <c r="P100" s="8">
        <v>1</v>
      </c>
      <c r="Q100" s="7">
        <f t="shared" si="3"/>
        <v>0</v>
      </c>
      <c r="R100" s="7">
        <f t="shared" si="4"/>
        <v>2500</v>
      </c>
      <c r="S100" s="7">
        <f>K100*O100/P100</f>
        <v>0</v>
      </c>
      <c r="T100" s="8" t="s">
        <v>254</v>
      </c>
      <c r="U100" s="4"/>
    </row>
    <row r="101" spans="1:21" s="5" customFormat="1" x14ac:dyDescent="0.25">
      <c r="A101" s="9" t="s">
        <v>447</v>
      </c>
      <c r="B101" s="9" t="s">
        <v>209</v>
      </c>
      <c r="C101" s="9">
        <v>176</v>
      </c>
      <c r="D101" s="11" t="s">
        <v>11</v>
      </c>
      <c r="E101" s="9" t="s">
        <v>8</v>
      </c>
      <c r="F101" s="10" t="s">
        <v>542</v>
      </c>
      <c r="G101" s="9" t="s">
        <v>546</v>
      </c>
      <c r="H101" s="9">
        <f t="shared" si="5"/>
        <v>1</v>
      </c>
      <c r="I101" s="9">
        <v>-180</v>
      </c>
      <c r="J101" s="11">
        <v>180</v>
      </c>
      <c r="K101" s="11">
        <v>0</v>
      </c>
      <c r="L101" s="9">
        <v>1</v>
      </c>
      <c r="M101" s="9" t="s">
        <v>544</v>
      </c>
      <c r="N101" s="7"/>
      <c r="O101" s="7">
        <v>1</v>
      </c>
      <c r="P101" s="7">
        <v>1</v>
      </c>
      <c r="Q101" s="7">
        <f t="shared" si="3"/>
        <v>-180</v>
      </c>
      <c r="R101" s="7">
        <f t="shared" si="4"/>
        <v>180</v>
      </c>
      <c r="S101" s="7">
        <f>K101*O101/P101</f>
        <v>0</v>
      </c>
      <c r="T101" s="8" t="s">
        <v>255</v>
      </c>
      <c r="U101" s="4"/>
    </row>
    <row r="102" spans="1:21" s="5" customFormat="1" x14ac:dyDescent="0.25">
      <c r="A102" s="9" t="s">
        <v>448</v>
      </c>
      <c r="B102" s="9" t="s">
        <v>210</v>
      </c>
      <c r="C102" s="9">
        <v>177</v>
      </c>
      <c r="D102" s="11" t="s">
        <v>11</v>
      </c>
      <c r="E102" s="9" t="s">
        <v>8</v>
      </c>
      <c r="F102" s="10" t="s">
        <v>542</v>
      </c>
      <c r="G102" s="9" t="s">
        <v>546</v>
      </c>
      <c r="H102" s="9">
        <f t="shared" si="5"/>
        <v>1</v>
      </c>
      <c r="I102" s="9">
        <v>-180</v>
      </c>
      <c r="J102" s="11">
        <v>180</v>
      </c>
      <c r="K102" s="11">
        <v>0</v>
      </c>
      <c r="L102" s="9">
        <v>1</v>
      </c>
      <c r="M102" s="9" t="s">
        <v>544</v>
      </c>
      <c r="N102" s="7"/>
      <c r="O102" s="7">
        <v>1</v>
      </c>
      <c r="P102" s="7">
        <v>1</v>
      </c>
      <c r="Q102" s="7">
        <f t="shared" si="3"/>
        <v>-180</v>
      </c>
      <c r="R102" s="7">
        <f t="shared" si="4"/>
        <v>180</v>
      </c>
      <c r="S102" s="7">
        <f>K102*O102/P102</f>
        <v>0</v>
      </c>
      <c r="T102" s="8" t="s">
        <v>256</v>
      </c>
      <c r="U102" s="4"/>
    </row>
    <row r="103" spans="1:21" s="5" customFormat="1" x14ac:dyDescent="0.25">
      <c r="A103" s="9" t="s">
        <v>449</v>
      </c>
      <c r="B103" s="9" t="s">
        <v>596</v>
      </c>
      <c r="C103" s="9">
        <v>178</v>
      </c>
      <c r="D103" s="11" t="s">
        <v>11</v>
      </c>
      <c r="E103" s="11" t="s">
        <v>257</v>
      </c>
      <c r="F103" s="12" t="s">
        <v>559</v>
      </c>
      <c r="G103" s="9" t="s">
        <v>546</v>
      </c>
      <c r="H103" s="9">
        <f t="shared" si="5"/>
        <v>1</v>
      </c>
      <c r="I103" s="9">
        <v>0</v>
      </c>
      <c r="J103" s="11">
        <v>2000</v>
      </c>
      <c r="K103" s="11">
        <v>0</v>
      </c>
      <c r="L103" s="9">
        <v>1</v>
      </c>
      <c r="M103" s="9" t="s">
        <v>544</v>
      </c>
      <c r="N103" s="7"/>
      <c r="O103" s="8">
        <v>1</v>
      </c>
      <c r="P103" s="8">
        <v>1</v>
      </c>
      <c r="Q103" s="7">
        <f t="shared" si="3"/>
        <v>0</v>
      </c>
      <c r="R103" s="7">
        <f t="shared" si="4"/>
        <v>2000</v>
      </c>
      <c r="S103" s="7">
        <f>K103*O103/P103</f>
        <v>0</v>
      </c>
      <c r="T103" s="8" t="s">
        <v>258</v>
      </c>
      <c r="U103" s="4"/>
    </row>
    <row r="104" spans="1:21" s="5" customFormat="1" x14ac:dyDescent="0.25">
      <c r="A104" s="9" t="s">
        <v>450</v>
      </c>
      <c r="B104" s="9" t="s">
        <v>593</v>
      </c>
      <c r="C104" s="9">
        <v>179</v>
      </c>
      <c r="D104" s="11" t="s">
        <v>11</v>
      </c>
      <c r="E104" s="11" t="s">
        <v>13</v>
      </c>
      <c r="F104" s="12" t="s">
        <v>548</v>
      </c>
      <c r="G104" s="9" t="s">
        <v>546</v>
      </c>
      <c r="H104" s="9">
        <f t="shared" si="5"/>
        <v>1</v>
      </c>
      <c r="I104" s="9">
        <v>0</v>
      </c>
      <c r="J104" s="11">
        <v>900</v>
      </c>
      <c r="K104" s="11">
        <v>0</v>
      </c>
      <c r="L104" s="9">
        <v>1</v>
      </c>
      <c r="M104" s="9" t="s">
        <v>544</v>
      </c>
      <c r="N104" s="7"/>
      <c r="O104" s="8">
        <v>1</v>
      </c>
      <c r="P104" s="8">
        <v>1</v>
      </c>
      <c r="Q104" s="7">
        <f t="shared" si="3"/>
        <v>0</v>
      </c>
      <c r="R104" s="7">
        <f t="shared" si="4"/>
        <v>900</v>
      </c>
      <c r="S104" s="7">
        <f>K104*O104/P104</f>
        <v>0</v>
      </c>
      <c r="T104" s="8" t="s">
        <v>259</v>
      </c>
      <c r="U104" s="4"/>
    </row>
    <row r="105" spans="1:21" s="5" customFormat="1" x14ac:dyDescent="0.25">
      <c r="A105" s="11" t="s">
        <v>451</v>
      </c>
      <c r="B105" s="11" t="s">
        <v>453</v>
      </c>
      <c r="C105" s="11">
        <v>180</v>
      </c>
      <c r="D105" s="11" t="s">
        <v>9</v>
      </c>
      <c r="E105" s="11" t="s">
        <v>10</v>
      </c>
      <c r="F105" s="12">
        <v>1</v>
      </c>
      <c r="G105" s="9" t="s">
        <v>546</v>
      </c>
      <c r="H105" s="9">
        <f t="shared" si="5"/>
        <v>1</v>
      </c>
      <c r="I105" s="11">
        <v>0</v>
      </c>
      <c r="J105" s="11">
        <v>200</v>
      </c>
      <c r="K105" s="11">
        <v>110</v>
      </c>
      <c r="L105" s="9">
        <v>1</v>
      </c>
      <c r="M105" s="9" t="s">
        <v>544</v>
      </c>
      <c r="N105" s="7"/>
      <c r="O105" s="8">
        <v>1</v>
      </c>
      <c r="P105" s="8">
        <v>1</v>
      </c>
      <c r="Q105" s="7">
        <f t="shared" si="3"/>
        <v>0</v>
      </c>
      <c r="R105" s="7">
        <f t="shared" si="4"/>
        <v>200</v>
      </c>
      <c r="S105" s="7">
        <f>K105*O105/P105</f>
        <v>110</v>
      </c>
      <c r="T105" s="8" t="s">
        <v>454</v>
      </c>
      <c r="U105" s="4"/>
    </row>
    <row r="106" spans="1:21" s="5" customFormat="1" x14ac:dyDescent="0.25">
      <c r="A106" s="11" t="s">
        <v>455</v>
      </c>
      <c r="B106" s="11" t="s">
        <v>456</v>
      </c>
      <c r="C106" s="11">
        <v>181</v>
      </c>
      <c r="D106" s="11" t="s">
        <v>9</v>
      </c>
      <c r="E106" s="11" t="s">
        <v>10</v>
      </c>
      <c r="F106" s="12">
        <v>1</v>
      </c>
      <c r="G106" s="9" t="s">
        <v>546</v>
      </c>
      <c r="H106" s="9">
        <f t="shared" si="5"/>
        <v>1</v>
      </c>
      <c r="I106" s="11">
        <v>2</v>
      </c>
      <c r="J106" s="11">
        <v>4000</v>
      </c>
      <c r="K106" s="11">
        <v>30</v>
      </c>
      <c r="L106" s="9">
        <v>1</v>
      </c>
      <c r="M106" s="9" t="s">
        <v>544</v>
      </c>
      <c r="N106" s="7"/>
      <c r="O106" s="8">
        <v>1</v>
      </c>
      <c r="P106" s="8">
        <v>1</v>
      </c>
      <c r="Q106" s="7">
        <f t="shared" si="3"/>
        <v>2</v>
      </c>
      <c r="R106" s="7">
        <f t="shared" si="4"/>
        <v>4000</v>
      </c>
      <c r="S106" s="7">
        <f>K106*O106/P106</f>
        <v>30</v>
      </c>
      <c r="T106" s="8" t="s">
        <v>457</v>
      </c>
      <c r="U106" s="4"/>
    </row>
    <row r="107" spans="1:21" s="5" customFormat="1" x14ac:dyDescent="0.25">
      <c r="A107" s="11" t="s">
        <v>458</v>
      </c>
      <c r="B107" s="11" t="s">
        <v>459</v>
      </c>
      <c r="C107" s="11">
        <v>182</v>
      </c>
      <c r="D107" s="11" t="s">
        <v>9</v>
      </c>
      <c r="E107" s="11" t="s">
        <v>8</v>
      </c>
      <c r="F107" s="12" t="s">
        <v>542</v>
      </c>
      <c r="G107" s="9" t="s">
        <v>546</v>
      </c>
      <c r="H107" s="9">
        <f t="shared" si="5"/>
        <v>1</v>
      </c>
      <c r="I107" s="11">
        <v>20</v>
      </c>
      <c r="J107" s="11">
        <v>60</v>
      </c>
      <c r="K107" s="11">
        <v>40</v>
      </c>
      <c r="L107" s="9">
        <v>1</v>
      </c>
      <c r="M107" s="9" t="s">
        <v>544</v>
      </c>
      <c r="N107" s="7"/>
      <c r="O107" s="8">
        <v>1</v>
      </c>
      <c r="P107" s="8">
        <v>1</v>
      </c>
      <c r="Q107" s="7">
        <f t="shared" si="3"/>
        <v>20</v>
      </c>
      <c r="R107" s="7">
        <f t="shared" si="4"/>
        <v>60</v>
      </c>
      <c r="S107" s="7">
        <f>K107*O107/P107</f>
        <v>40</v>
      </c>
      <c r="T107" s="8" t="s">
        <v>460</v>
      </c>
      <c r="U107" s="4"/>
    </row>
    <row r="108" spans="1:21" s="5" customFormat="1" x14ac:dyDescent="0.25">
      <c r="A108" s="11" t="s">
        <v>461</v>
      </c>
      <c r="B108" s="11" t="s">
        <v>462</v>
      </c>
      <c r="C108" s="11">
        <v>183</v>
      </c>
      <c r="D108" s="11" t="s">
        <v>9</v>
      </c>
      <c r="E108" s="11" t="s">
        <v>10</v>
      </c>
      <c r="F108" s="12">
        <v>1</v>
      </c>
      <c r="G108" s="9" t="s">
        <v>546</v>
      </c>
      <c r="H108" s="9">
        <f t="shared" si="5"/>
        <v>1</v>
      </c>
      <c r="I108" s="11">
        <v>0</v>
      </c>
      <c r="J108" s="11">
        <v>8</v>
      </c>
      <c r="K108" s="11">
        <v>2</v>
      </c>
      <c r="L108" s="9">
        <v>1</v>
      </c>
      <c r="M108" s="9" t="s">
        <v>544</v>
      </c>
      <c r="N108" s="7"/>
      <c r="O108" s="8">
        <v>1</v>
      </c>
      <c r="P108" s="8">
        <v>1</v>
      </c>
      <c r="Q108" s="7">
        <f t="shared" si="3"/>
        <v>0</v>
      </c>
      <c r="R108" s="7">
        <f t="shared" si="4"/>
        <v>8</v>
      </c>
      <c r="S108" s="7">
        <f>K108*O108/P108</f>
        <v>2</v>
      </c>
      <c r="T108" s="8" t="s">
        <v>463</v>
      </c>
      <c r="U108" s="4"/>
    </row>
    <row r="109" spans="1:21" s="5" customFormat="1" x14ac:dyDescent="0.25">
      <c r="A109" s="11" t="s">
        <v>464</v>
      </c>
      <c r="B109" s="11" t="s">
        <v>492</v>
      </c>
      <c r="C109" s="11">
        <v>184</v>
      </c>
      <c r="D109" s="11" t="s">
        <v>9</v>
      </c>
      <c r="E109" s="11" t="s">
        <v>13</v>
      </c>
      <c r="F109" s="12" t="s">
        <v>548</v>
      </c>
      <c r="G109" s="9" t="s">
        <v>546</v>
      </c>
      <c r="H109" s="9">
        <f t="shared" si="5"/>
        <v>1</v>
      </c>
      <c r="I109" s="11">
        <v>5</v>
      </c>
      <c r="J109" s="11">
        <v>500</v>
      </c>
      <c r="K109" s="11">
        <v>90</v>
      </c>
      <c r="L109" s="9">
        <v>1</v>
      </c>
      <c r="M109" s="9" t="s">
        <v>544</v>
      </c>
      <c r="N109" s="7"/>
      <c r="O109" s="8">
        <v>1</v>
      </c>
      <c r="P109" s="8">
        <v>1</v>
      </c>
      <c r="Q109" s="7">
        <f t="shared" si="3"/>
        <v>5</v>
      </c>
      <c r="R109" s="7">
        <f t="shared" si="4"/>
        <v>500</v>
      </c>
      <c r="S109" s="7">
        <f>K109*O109/P109</f>
        <v>90</v>
      </c>
      <c r="T109" s="8" t="s">
        <v>491</v>
      </c>
      <c r="U109" s="4"/>
    </row>
    <row r="110" spans="1:21" s="5" customFormat="1" x14ac:dyDescent="0.25">
      <c r="A110" s="11" t="s">
        <v>465</v>
      </c>
      <c r="B110" s="11" t="s">
        <v>493</v>
      </c>
      <c r="C110" s="11">
        <v>185</v>
      </c>
      <c r="D110" s="11" t="s">
        <v>9</v>
      </c>
      <c r="E110" s="11" t="s">
        <v>13</v>
      </c>
      <c r="F110" s="12" t="s">
        <v>548</v>
      </c>
      <c r="G110" s="9" t="s">
        <v>546</v>
      </c>
      <c r="H110" s="9">
        <f t="shared" si="5"/>
        <v>1</v>
      </c>
      <c r="I110" s="11">
        <v>10</v>
      </c>
      <c r="J110" s="11">
        <v>500</v>
      </c>
      <c r="K110" s="11">
        <v>12</v>
      </c>
      <c r="L110" s="9">
        <v>1</v>
      </c>
      <c r="M110" s="9" t="s">
        <v>544</v>
      </c>
      <c r="N110" s="7"/>
      <c r="O110" s="8">
        <v>1</v>
      </c>
      <c r="P110" s="8">
        <v>1</v>
      </c>
      <c r="Q110" s="7">
        <f t="shared" si="3"/>
        <v>10</v>
      </c>
      <c r="R110" s="7">
        <f t="shared" si="4"/>
        <v>500</v>
      </c>
      <c r="S110" s="7">
        <f>K110*O110/P110</f>
        <v>12</v>
      </c>
      <c r="T110" s="8" t="s">
        <v>494</v>
      </c>
      <c r="U110" s="4"/>
    </row>
    <row r="111" spans="1:21" s="5" customFormat="1" x14ac:dyDescent="0.25">
      <c r="A111" s="11" t="s">
        <v>466</v>
      </c>
      <c r="B111" s="11" t="s">
        <v>496</v>
      </c>
      <c r="C111" s="11">
        <v>186</v>
      </c>
      <c r="D111" s="11" t="s">
        <v>9</v>
      </c>
      <c r="E111" s="11" t="s">
        <v>65</v>
      </c>
      <c r="F111" s="12" t="s">
        <v>551</v>
      </c>
      <c r="G111" s="9" t="s">
        <v>546</v>
      </c>
      <c r="H111" s="9">
        <f t="shared" si="5"/>
        <v>1</v>
      </c>
      <c r="I111" s="11">
        <v>0</v>
      </c>
      <c r="J111" s="11">
        <v>500</v>
      </c>
      <c r="K111" s="11">
        <v>20</v>
      </c>
      <c r="L111" s="9">
        <v>1</v>
      </c>
      <c r="M111" s="9" t="s">
        <v>544</v>
      </c>
      <c r="N111" s="7"/>
      <c r="O111" s="8">
        <v>1</v>
      </c>
      <c r="P111" s="8">
        <v>1</v>
      </c>
      <c r="Q111" s="7">
        <f t="shared" si="3"/>
        <v>0</v>
      </c>
      <c r="R111" s="7">
        <f t="shared" si="4"/>
        <v>500</v>
      </c>
      <c r="S111" s="7">
        <f>K111*O111/P111</f>
        <v>20</v>
      </c>
      <c r="T111" s="8" t="s">
        <v>495</v>
      </c>
      <c r="U111" s="4"/>
    </row>
    <row r="112" spans="1:21" s="5" customFormat="1" x14ac:dyDescent="0.25">
      <c r="A112" s="11" t="s">
        <v>467</v>
      </c>
      <c r="B112" s="11" t="s">
        <v>497</v>
      </c>
      <c r="C112" s="11">
        <v>187</v>
      </c>
      <c r="D112" s="11" t="s">
        <v>9</v>
      </c>
      <c r="E112" s="11" t="s">
        <v>13</v>
      </c>
      <c r="F112" s="12" t="s">
        <v>548</v>
      </c>
      <c r="G112" s="9" t="s">
        <v>546</v>
      </c>
      <c r="H112" s="9">
        <f t="shared" si="5"/>
        <v>1</v>
      </c>
      <c r="I112" s="11">
        <v>10</v>
      </c>
      <c r="J112" s="11">
        <v>500</v>
      </c>
      <c r="K112" s="11">
        <v>25</v>
      </c>
      <c r="L112" s="9">
        <v>1</v>
      </c>
      <c r="M112" s="9" t="s">
        <v>544</v>
      </c>
      <c r="N112" s="7"/>
      <c r="O112" s="8">
        <v>1</v>
      </c>
      <c r="P112" s="8">
        <v>1</v>
      </c>
      <c r="Q112" s="7">
        <f t="shared" si="3"/>
        <v>10</v>
      </c>
      <c r="R112" s="7">
        <f t="shared" si="4"/>
        <v>500</v>
      </c>
      <c r="S112" s="7">
        <f>K112*O112/P112</f>
        <v>25</v>
      </c>
      <c r="T112" s="8" t="s">
        <v>498</v>
      </c>
      <c r="U112" s="4"/>
    </row>
    <row r="113" spans="1:21" s="5" customFormat="1" x14ac:dyDescent="0.25">
      <c r="A113" s="11" t="s">
        <v>468</v>
      </c>
      <c r="B113" s="11" t="s">
        <v>499</v>
      </c>
      <c r="C113" s="11">
        <v>188</v>
      </c>
      <c r="D113" s="11" t="s">
        <v>9</v>
      </c>
      <c r="E113" s="11" t="s">
        <v>65</v>
      </c>
      <c r="F113" s="12" t="s">
        <v>551</v>
      </c>
      <c r="G113" s="9" t="s">
        <v>546</v>
      </c>
      <c r="H113" s="9">
        <f t="shared" si="5"/>
        <v>1</v>
      </c>
      <c r="I113" s="11">
        <v>0</v>
      </c>
      <c r="J113" s="11">
        <v>500</v>
      </c>
      <c r="K113" s="11">
        <v>100</v>
      </c>
      <c r="L113" s="9">
        <v>1</v>
      </c>
      <c r="M113" s="9" t="s">
        <v>544</v>
      </c>
      <c r="N113" s="7"/>
      <c r="O113" s="8">
        <v>1</v>
      </c>
      <c r="P113" s="8">
        <v>1</v>
      </c>
      <c r="Q113" s="7">
        <f t="shared" si="3"/>
        <v>0</v>
      </c>
      <c r="R113" s="7">
        <f t="shared" si="4"/>
        <v>500</v>
      </c>
      <c r="S113" s="7">
        <f>K113*O113/P113</f>
        <v>100</v>
      </c>
      <c r="T113" s="8" t="s">
        <v>500</v>
      </c>
      <c r="U113" s="4"/>
    </row>
    <row r="114" spans="1:21" s="5" customFormat="1" x14ac:dyDescent="0.25">
      <c r="A114" s="11" t="s">
        <v>469</v>
      </c>
      <c r="B114" s="11" t="s">
        <v>501</v>
      </c>
      <c r="C114" s="11">
        <v>189</v>
      </c>
      <c r="D114" s="11" t="s">
        <v>9</v>
      </c>
      <c r="E114" s="11" t="s">
        <v>13</v>
      </c>
      <c r="F114" s="12" t="s">
        <v>548</v>
      </c>
      <c r="G114" s="9" t="s">
        <v>546</v>
      </c>
      <c r="H114" s="9">
        <f t="shared" si="5"/>
        <v>1</v>
      </c>
      <c r="I114" s="11">
        <v>10</v>
      </c>
      <c r="J114" s="11">
        <v>500</v>
      </c>
      <c r="K114" s="11">
        <v>90</v>
      </c>
      <c r="L114" s="9">
        <v>1</v>
      </c>
      <c r="M114" s="9" t="s">
        <v>544</v>
      </c>
      <c r="N114" s="7"/>
      <c r="O114" s="8">
        <v>1</v>
      </c>
      <c r="P114" s="8">
        <v>1</v>
      </c>
      <c r="Q114" s="7">
        <f t="shared" si="3"/>
        <v>10</v>
      </c>
      <c r="R114" s="7">
        <f t="shared" si="4"/>
        <v>500</v>
      </c>
      <c r="S114" s="7">
        <f>K114*O114/P114</f>
        <v>90</v>
      </c>
      <c r="T114" s="8" t="s">
        <v>502</v>
      </c>
      <c r="U114" s="4"/>
    </row>
    <row r="115" spans="1:21" s="5" customFormat="1" x14ac:dyDescent="0.25">
      <c r="A115" s="11" t="s">
        <v>470</v>
      </c>
      <c r="B115" s="11" t="s">
        <v>503</v>
      </c>
      <c r="C115" s="11">
        <v>190</v>
      </c>
      <c r="D115" s="11" t="s">
        <v>9</v>
      </c>
      <c r="E115" s="11" t="s">
        <v>65</v>
      </c>
      <c r="F115" s="12" t="s">
        <v>551</v>
      </c>
      <c r="G115" s="9" t="s">
        <v>546</v>
      </c>
      <c r="H115" s="9">
        <f t="shared" si="5"/>
        <v>1</v>
      </c>
      <c r="I115" s="11">
        <v>0</v>
      </c>
      <c r="J115" s="11">
        <v>500</v>
      </c>
      <c r="K115" s="11">
        <v>200</v>
      </c>
      <c r="L115" s="9">
        <v>1</v>
      </c>
      <c r="M115" s="9" t="s">
        <v>544</v>
      </c>
      <c r="N115" s="7"/>
      <c r="O115" s="8">
        <v>1</v>
      </c>
      <c r="P115" s="8">
        <v>1</v>
      </c>
      <c r="Q115" s="7">
        <f t="shared" si="3"/>
        <v>0</v>
      </c>
      <c r="R115" s="7">
        <f t="shared" si="4"/>
        <v>500</v>
      </c>
      <c r="S115" s="7">
        <f>K115*O115/P115</f>
        <v>200</v>
      </c>
      <c r="T115" s="8" t="s">
        <v>504</v>
      </c>
      <c r="U115" s="4"/>
    </row>
    <row r="116" spans="1:21" s="5" customFormat="1" x14ac:dyDescent="0.25">
      <c r="A116" s="11" t="s">
        <v>471</v>
      </c>
      <c r="B116" s="11" t="s">
        <v>505</v>
      </c>
      <c r="C116" s="11">
        <v>191</v>
      </c>
      <c r="D116" s="11" t="s">
        <v>9</v>
      </c>
      <c r="E116" s="11" t="s">
        <v>13</v>
      </c>
      <c r="F116" s="12" t="s">
        <v>548</v>
      </c>
      <c r="G116" s="9" t="s">
        <v>546</v>
      </c>
      <c r="H116" s="9">
        <f t="shared" si="5"/>
        <v>1</v>
      </c>
      <c r="I116" s="11">
        <v>10</v>
      </c>
      <c r="J116" s="11">
        <v>500</v>
      </c>
      <c r="K116" s="11">
        <v>180</v>
      </c>
      <c r="L116" s="9">
        <v>1</v>
      </c>
      <c r="M116" s="9" t="s">
        <v>544</v>
      </c>
      <c r="N116" s="7"/>
      <c r="O116" s="8">
        <v>1</v>
      </c>
      <c r="P116" s="8">
        <v>1</v>
      </c>
      <c r="Q116" s="7">
        <f t="shared" si="3"/>
        <v>10</v>
      </c>
      <c r="R116" s="7">
        <f t="shared" si="4"/>
        <v>500</v>
      </c>
      <c r="S116" s="7">
        <f>K116*O116/P116</f>
        <v>180</v>
      </c>
      <c r="T116" s="8" t="s">
        <v>506</v>
      </c>
      <c r="U116" s="4"/>
    </row>
    <row r="117" spans="1:21" s="5" customFormat="1" x14ac:dyDescent="0.25">
      <c r="A117" s="11" t="s">
        <v>472</v>
      </c>
      <c r="B117" s="11" t="s">
        <v>507</v>
      </c>
      <c r="C117" s="11">
        <v>192</v>
      </c>
      <c r="D117" s="11" t="s">
        <v>9</v>
      </c>
      <c r="E117" s="11" t="s">
        <v>65</v>
      </c>
      <c r="F117" s="12" t="s">
        <v>551</v>
      </c>
      <c r="G117" s="9" t="s">
        <v>546</v>
      </c>
      <c r="H117" s="9">
        <f t="shared" si="5"/>
        <v>1</v>
      </c>
      <c r="I117" s="11">
        <v>0</v>
      </c>
      <c r="J117" s="11">
        <v>500</v>
      </c>
      <c r="K117" s="11">
        <v>200</v>
      </c>
      <c r="L117" s="9">
        <v>1</v>
      </c>
      <c r="M117" s="9" t="s">
        <v>544</v>
      </c>
      <c r="N117" s="7"/>
      <c r="O117" s="8">
        <v>1</v>
      </c>
      <c r="P117" s="8">
        <v>1</v>
      </c>
      <c r="Q117" s="7">
        <f t="shared" si="3"/>
        <v>0</v>
      </c>
      <c r="R117" s="7">
        <f t="shared" si="4"/>
        <v>500</v>
      </c>
      <c r="S117" s="7">
        <f>K117*O117/P117</f>
        <v>200</v>
      </c>
      <c r="T117" s="8" t="s">
        <v>508</v>
      </c>
      <c r="U117" s="4"/>
    </row>
    <row r="118" spans="1:21" s="5" customFormat="1" x14ac:dyDescent="0.25">
      <c r="A118" s="11" t="s">
        <v>473</v>
      </c>
      <c r="B118" s="11" t="s">
        <v>509</v>
      </c>
      <c r="C118" s="11">
        <v>193</v>
      </c>
      <c r="D118" s="11" t="s">
        <v>9</v>
      </c>
      <c r="E118" s="11" t="s">
        <v>13</v>
      </c>
      <c r="F118" s="12" t="s">
        <v>548</v>
      </c>
      <c r="G118" s="9" t="s">
        <v>546</v>
      </c>
      <c r="H118" s="9">
        <f t="shared" si="5"/>
        <v>1</v>
      </c>
      <c r="I118" s="11">
        <v>10</v>
      </c>
      <c r="J118" s="11">
        <v>500</v>
      </c>
      <c r="K118" s="11">
        <v>180</v>
      </c>
      <c r="L118" s="9">
        <v>1</v>
      </c>
      <c r="M118" s="9" t="s">
        <v>544</v>
      </c>
      <c r="N118" s="7"/>
      <c r="O118" s="8">
        <v>1</v>
      </c>
      <c r="P118" s="8">
        <v>1</v>
      </c>
      <c r="Q118" s="7">
        <f t="shared" si="3"/>
        <v>10</v>
      </c>
      <c r="R118" s="7">
        <f t="shared" si="4"/>
        <v>500</v>
      </c>
      <c r="S118" s="7">
        <f>K118*O118/P118</f>
        <v>180</v>
      </c>
      <c r="T118" s="8" t="s">
        <v>510</v>
      </c>
      <c r="U118" s="4"/>
    </row>
    <row r="119" spans="1:21" s="5" customFormat="1" x14ac:dyDescent="0.25">
      <c r="A119" s="11" t="s">
        <v>474</v>
      </c>
      <c r="B119" s="11" t="s">
        <v>511</v>
      </c>
      <c r="C119" s="11">
        <v>194</v>
      </c>
      <c r="D119" s="11" t="s">
        <v>9</v>
      </c>
      <c r="E119" s="11" t="s">
        <v>65</v>
      </c>
      <c r="F119" s="12" t="s">
        <v>551</v>
      </c>
      <c r="G119" s="9" t="s">
        <v>546</v>
      </c>
      <c r="H119" s="9">
        <f t="shared" si="5"/>
        <v>1</v>
      </c>
      <c r="I119" s="11">
        <v>0</v>
      </c>
      <c r="J119" s="11">
        <v>500</v>
      </c>
      <c r="K119" s="11">
        <v>200</v>
      </c>
      <c r="L119" s="9">
        <v>1</v>
      </c>
      <c r="M119" s="9" t="s">
        <v>544</v>
      </c>
      <c r="N119" s="7"/>
      <c r="O119" s="8">
        <v>1</v>
      </c>
      <c r="P119" s="8">
        <v>1</v>
      </c>
      <c r="Q119" s="7">
        <f t="shared" si="3"/>
        <v>0</v>
      </c>
      <c r="R119" s="7">
        <f t="shared" si="4"/>
        <v>500</v>
      </c>
      <c r="S119" s="7">
        <f>K119*O119/P119</f>
        <v>200</v>
      </c>
      <c r="T119" s="8" t="s">
        <v>512</v>
      </c>
      <c r="U119" s="4"/>
    </row>
    <row r="120" spans="1:21" s="5" customFormat="1" x14ac:dyDescent="0.25">
      <c r="A120" s="11" t="s">
        <v>475</v>
      </c>
      <c r="B120" s="11" t="s">
        <v>513</v>
      </c>
      <c r="C120" s="11">
        <v>195</v>
      </c>
      <c r="D120" s="11" t="s">
        <v>9</v>
      </c>
      <c r="E120" s="11" t="s">
        <v>13</v>
      </c>
      <c r="F120" s="12" t="s">
        <v>548</v>
      </c>
      <c r="G120" s="9" t="s">
        <v>546</v>
      </c>
      <c r="H120" s="9">
        <f t="shared" si="5"/>
        <v>1</v>
      </c>
      <c r="I120" s="11">
        <v>10</v>
      </c>
      <c r="J120" s="11">
        <v>500</v>
      </c>
      <c r="K120" s="11">
        <v>180</v>
      </c>
      <c r="L120" s="9">
        <v>1</v>
      </c>
      <c r="M120" s="9" t="s">
        <v>544</v>
      </c>
      <c r="N120" s="7"/>
      <c r="O120" s="8">
        <v>1</v>
      </c>
      <c r="P120" s="8">
        <v>1</v>
      </c>
      <c r="Q120" s="7">
        <f t="shared" si="3"/>
        <v>10</v>
      </c>
      <c r="R120" s="7">
        <f t="shared" si="4"/>
        <v>500</v>
      </c>
      <c r="S120" s="7">
        <f>K120*O120/P120</f>
        <v>180</v>
      </c>
      <c r="T120" s="8" t="s">
        <v>514</v>
      </c>
      <c r="U120" s="4"/>
    </row>
    <row r="121" spans="1:21" s="5" customFormat="1" x14ac:dyDescent="0.25">
      <c r="A121" s="11" t="s">
        <v>476</v>
      </c>
      <c r="B121" s="11" t="s">
        <v>515</v>
      </c>
      <c r="C121" s="11">
        <v>196</v>
      </c>
      <c r="D121" s="11" t="s">
        <v>9</v>
      </c>
      <c r="E121" s="11" t="s">
        <v>65</v>
      </c>
      <c r="F121" s="12" t="s">
        <v>551</v>
      </c>
      <c r="G121" s="9" t="s">
        <v>546</v>
      </c>
      <c r="H121" s="9">
        <f t="shared" si="5"/>
        <v>1</v>
      </c>
      <c r="I121" s="11">
        <v>0</v>
      </c>
      <c r="J121" s="11">
        <v>500</v>
      </c>
      <c r="K121" s="11">
        <v>200</v>
      </c>
      <c r="L121" s="9">
        <v>1</v>
      </c>
      <c r="M121" s="9" t="s">
        <v>544</v>
      </c>
      <c r="N121" s="7"/>
      <c r="O121" s="8">
        <v>1</v>
      </c>
      <c r="P121" s="8">
        <v>1</v>
      </c>
      <c r="Q121" s="7">
        <f t="shared" si="3"/>
        <v>0</v>
      </c>
      <c r="R121" s="7">
        <f t="shared" si="4"/>
        <v>500</v>
      </c>
      <c r="S121" s="7">
        <f>K121*O121/P121</f>
        <v>200</v>
      </c>
      <c r="T121" s="8" t="s">
        <v>516</v>
      </c>
      <c r="U121" s="4"/>
    </row>
    <row r="122" spans="1:21" s="5" customFormat="1" x14ac:dyDescent="0.25">
      <c r="A122" s="11" t="s">
        <v>477</v>
      </c>
      <c r="B122" s="11" t="s">
        <v>517</v>
      </c>
      <c r="C122" s="11">
        <v>197</v>
      </c>
      <c r="D122" s="11" t="s">
        <v>9</v>
      </c>
      <c r="E122" s="11" t="s">
        <v>13</v>
      </c>
      <c r="F122" s="12" t="s">
        <v>548</v>
      </c>
      <c r="G122" s="9" t="s">
        <v>546</v>
      </c>
      <c r="H122" s="9">
        <f t="shared" si="5"/>
        <v>1</v>
      </c>
      <c r="I122" s="11">
        <v>10</v>
      </c>
      <c r="J122" s="11">
        <v>500</v>
      </c>
      <c r="K122" s="11">
        <v>150</v>
      </c>
      <c r="L122" s="9">
        <v>1</v>
      </c>
      <c r="M122" s="9" t="s">
        <v>544</v>
      </c>
      <c r="N122" s="7"/>
      <c r="O122" s="8">
        <v>1</v>
      </c>
      <c r="P122" s="8">
        <v>1</v>
      </c>
      <c r="Q122" s="7">
        <f t="shared" si="3"/>
        <v>10</v>
      </c>
      <c r="R122" s="7">
        <f t="shared" si="4"/>
        <v>500</v>
      </c>
      <c r="S122" s="7">
        <f>K122*O122/P122</f>
        <v>150</v>
      </c>
      <c r="T122" s="8" t="s">
        <v>518</v>
      </c>
      <c r="U122" s="4"/>
    </row>
    <row r="123" spans="1:21" s="5" customFormat="1" x14ac:dyDescent="0.25">
      <c r="A123" s="11" t="s">
        <v>478</v>
      </c>
      <c r="B123" s="11" t="s">
        <v>519</v>
      </c>
      <c r="C123" s="11">
        <v>198</v>
      </c>
      <c r="D123" s="11" t="s">
        <v>9</v>
      </c>
      <c r="E123" s="11" t="s">
        <v>99</v>
      </c>
      <c r="F123" s="12" t="s">
        <v>555</v>
      </c>
      <c r="G123" s="9" t="s">
        <v>546</v>
      </c>
      <c r="H123" s="9">
        <f t="shared" si="5"/>
        <v>1</v>
      </c>
      <c r="I123" s="11">
        <v>0</v>
      </c>
      <c r="J123" s="11">
        <v>2000</v>
      </c>
      <c r="K123" s="11">
        <v>250</v>
      </c>
      <c r="L123" s="9">
        <v>1</v>
      </c>
      <c r="M123" s="9" t="s">
        <v>544</v>
      </c>
      <c r="N123" s="7"/>
      <c r="O123" s="8">
        <v>1</v>
      </c>
      <c r="P123" s="8">
        <v>1</v>
      </c>
      <c r="Q123" s="7">
        <f t="shared" si="3"/>
        <v>0</v>
      </c>
      <c r="R123" s="7">
        <f t="shared" si="4"/>
        <v>2000</v>
      </c>
      <c r="S123" s="7">
        <f>K123*O123/P123</f>
        <v>250</v>
      </c>
      <c r="T123" s="8" t="s">
        <v>520</v>
      </c>
      <c r="U123" s="4"/>
    </row>
    <row r="124" spans="1:21" s="5" customFormat="1" x14ac:dyDescent="0.25">
      <c r="A124" s="11" t="s">
        <v>479</v>
      </c>
      <c r="B124" s="11" t="s">
        <v>521</v>
      </c>
      <c r="C124" s="11">
        <v>199</v>
      </c>
      <c r="D124" s="11" t="s">
        <v>9</v>
      </c>
      <c r="E124" s="11" t="s">
        <v>226</v>
      </c>
      <c r="F124" s="12">
        <v>1</v>
      </c>
      <c r="G124" s="9" t="s">
        <v>546</v>
      </c>
      <c r="H124" s="9">
        <f t="shared" si="5"/>
        <v>1</v>
      </c>
      <c r="I124" s="11">
        <v>0</v>
      </c>
      <c r="J124" s="11">
        <v>125</v>
      </c>
      <c r="K124" s="11">
        <v>110</v>
      </c>
      <c r="L124" s="9">
        <v>1</v>
      </c>
      <c r="M124" s="9" t="s">
        <v>544</v>
      </c>
      <c r="N124" s="7"/>
      <c r="O124" s="8">
        <v>1</v>
      </c>
      <c r="P124" s="8">
        <v>1</v>
      </c>
      <c r="Q124" s="7">
        <f t="shared" si="3"/>
        <v>0</v>
      </c>
      <c r="R124" s="7">
        <f t="shared" si="4"/>
        <v>125</v>
      </c>
      <c r="S124" s="8">
        <f>K124*O124/P124</f>
        <v>110</v>
      </c>
      <c r="T124" s="8" t="s">
        <v>522</v>
      </c>
      <c r="U124" s="4"/>
    </row>
    <row r="125" spans="1:21" s="5" customFormat="1" x14ac:dyDescent="0.25">
      <c r="A125" s="11" t="s">
        <v>480</v>
      </c>
      <c r="B125" s="11" t="s">
        <v>523</v>
      </c>
      <c r="C125" s="11">
        <v>200</v>
      </c>
      <c r="D125" s="11" t="s">
        <v>9</v>
      </c>
      <c r="E125" s="11" t="s">
        <v>44</v>
      </c>
      <c r="F125" s="12" t="s">
        <v>550</v>
      </c>
      <c r="G125" s="9" t="s">
        <v>546</v>
      </c>
      <c r="H125" s="9">
        <f t="shared" si="5"/>
        <v>1</v>
      </c>
      <c r="I125" s="11">
        <v>2</v>
      </c>
      <c r="J125" s="11">
        <v>4000</v>
      </c>
      <c r="K125" s="11">
        <v>50</v>
      </c>
      <c r="L125" s="9">
        <v>1</v>
      </c>
      <c r="M125" s="9" t="s">
        <v>544</v>
      </c>
      <c r="N125" s="7"/>
      <c r="O125" s="8">
        <v>1</v>
      </c>
      <c r="P125" s="8">
        <v>1</v>
      </c>
      <c r="Q125" s="7">
        <f t="shared" si="3"/>
        <v>2</v>
      </c>
      <c r="R125" s="7">
        <f t="shared" si="4"/>
        <v>4000</v>
      </c>
      <c r="S125" s="8">
        <f>K125*O125/P125</f>
        <v>50</v>
      </c>
      <c r="T125" s="8" t="s">
        <v>524</v>
      </c>
      <c r="U125" s="4"/>
    </row>
    <row r="126" spans="1:21" s="5" customFormat="1" x14ac:dyDescent="0.25">
      <c r="A126" s="11" t="s">
        <v>481</v>
      </c>
      <c r="B126" s="11" t="s">
        <v>525</v>
      </c>
      <c r="C126" s="11">
        <v>201</v>
      </c>
      <c r="D126" s="11" t="s">
        <v>9</v>
      </c>
      <c r="E126" s="11" t="s">
        <v>99</v>
      </c>
      <c r="F126" s="12" t="s">
        <v>555</v>
      </c>
      <c r="G126" s="9" t="s">
        <v>546</v>
      </c>
      <c r="H126" s="9">
        <f t="shared" si="5"/>
        <v>1</v>
      </c>
      <c r="I126" s="11">
        <v>0</v>
      </c>
      <c r="J126" s="11">
        <v>2000</v>
      </c>
      <c r="K126" s="11">
        <v>370</v>
      </c>
      <c r="L126" s="9">
        <v>1</v>
      </c>
      <c r="M126" s="9" t="s">
        <v>544</v>
      </c>
      <c r="N126" s="7"/>
      <c r="O126" s="8">
        <v>1</v>
      </c>
      <c r="P126" s="8">
        <v>1</v>
      </c>
      <c r="Q126" s="7">
        <f t="shared" si="3"/>
        <v>0</v>
      </c>
      <c r="R126" s="7">
        <f t="shared" si="4"/>
        <v>2000</v>
      </c>
      <c r="S126" s="8">
        <f>K126*O126/P126</f>
        <v>370</v>
      </c>
      <c r="T126" s="8" t="s">
        <v>526</v>
      </c>
      <c r="U126" s="4"/>
    </row>
    <row r="127" spans="1:21" s="5" customFormat="1" x14ac:dyDescent="0.25">
      <c r="A127" s="11" t="s">
        <v>482</v>
      </c>
      <c r="B127" s="11" t="s">
        <v>528</v>
      </c>
      <c r="C127" s="11">
        <v>202</v>
      </c>
      <c r="D127" s="11" t="s">
        <v>9</v>
      </c>
      <c r="E127" s="11" t="s">
        <v>44</v>
      </c>
      <c r="F127" s="12" t="s">
        <v>550</v>
      </c>
      <c r="G127" s="9" t="s">
        <v>546</v>
      </c>
      <c r="H127" s="9">
        <f t="shared" si="5"/>
        <v>1E-3</v>
      </c>
      <c r="I127" s="11">
        <v>0</v>
      </c>
      <c r="J127" s="11">
        <v>10</v>
      </c>
      <c r="K127" s="11">
        <v>4</v>
      </c>
      <c r="L127" s="9">
        <v>1</v>
      </c>
      <c r="M127" s="9" t="s">
        <v>544</v>
      </c>
      <c r="N127" s="7"/>
      <c r="O127" s="8">
        <v>1</v>
      </c>
      <c r="P127" s="8">
        <v>1000</v>
      </c>
      <c r="Q127" s="7">
        <f t="shared" si="3"/>
        <v>0</v>
      </c>
      <c r="R127" s="7">
        <f t="shared" si="4"/>
        <v>0.01</v>
      </c>
      <c r="S127" s="8">
        <f>K127*O127/P127</f>
        <v>4.0000000000000001E-3</v>
      </c>
      <c r="T127" s="8" t="s">
        <v>527</v>
      </c>
      <c r="U127" s="4"/>
    </row>
    <row r="128" spans="1:21" s="5" customFormat="1" x14ac:dyDescent="0.25">
      <c r="A128" s="11" t="s">
        <v>483</v>
      </c>
      <c r="B128" s="11" t="s">
        <v>561</v>
      </c>
      <c r="C128" s="11">
        <v>203</v>
      </c>
      <c r="D128" s="11" t="s">
        <v>9</v>
      </c>
      <c r="E128" s="11" t="s">
        <v>10</v>
      </c>
      <c r="F128" s="12">
        <v>1</v>
      </c>
      <c r="G128" s="9" t="s">
        <v>546</v>
      </c>
      <c r="H128" s="9">
        <f t="shared" si="5"/>
        <v>1</v>
      </c>
      <c r="I128" s="11">
        <v>20</v>
      </c>
      <c r="J128" s="11">
        <v>1000</v>
      </c>
      <c r="K128" s="11">
        <v>118</v>
      </c>
      <c r="L128" s="9">
        <v>1</v>
      </c>
      <c r="M128" s="9" t="s">
        <v>544</v>
      </c>
      <c r="N128" s="7"/>
      <c r="O128" s="8">
        <v>1</v>
      </c>
      <c r="P128" s="8">
        <v>1</v>
      </c>
      <c r="Q128" s="7">
        <f t="shared" si="3"/>
        <v>20</v>
      </c>
      <c r="R128" s="7">
        <f t="shared" si="4"/>
        <v>1000</v>
      </c>
      <c r="S128" s="8">
        <f>K128*O128/P128</f>
        <v>118</v>
      </c>
      <c r="T128" s="8" t="s">
        <v>529</v>
      </c>
      <c r="U128" s="4"/>
    </row>
    <row r="129" spans="1:21" s="5" customFormat="1" x14ac:dyDescent="0.25">
      <c r="A129" s="11" t="s">
        <v>484</v>
      </c>
      <c r="B129" s="11" t="s">
        <v>560</v>
      </c>
      <c r="C129" s="11">
        <v>204</v>
      </c>
      <c r="D129" s="11" t="s">
        <v>9</v>
      </c>
      <c r="E129" s="11" t="s">
        <v>10</v>
      </c>
      <c r="F129" s="12">
        <v>1</v>
      </c>
      <c r="G129" s="9" t="s">
        <v>546</v>
      </c>
      <c r="H129" s="9">
        <f t="shared" si="5"/>
        <v>1</v>
      </c>
      <c r="I129" s="11">
        <v>10</v>
      </c>
      <c r="J129" s="11">
        <v>1000</v>
      </c>
      <c r="K129" s="11">
        <v>100</v>
      </c>
      <c r="L129" s="9">
        <v>1</v>
      </c>
      <c r="M129" s="9" t="s">
        <v>544</v>
      </c>
      <c r="N129" s="7"/>
      <c r="O129" s="8">
        <v>1</v>
      </c>
      <c r="P129" s="8">
        <v>1</v>
      </c>
      <c r="Q129" s="7">
        <f t="shared" si="3"/>
        <v>10</v>
      </c>
      <c r="R129" s="7">
        <f t="shared" si="4"/>
        <v>1000</v>
      </c>
      <c r="S129" s="8">
        <f>K129*O129/P129</f>
        <v>100</v>
      </c>
      <c r="T129" s="8" t="s">
        <v>540</v>
      </c>
      <c r="U129" s="4"/>
    </row>
    <row r="130" spans="1:21" s="5" customFormat="1" x14ac:dyDescent="0.25">
      <c r="A130" s="11" t="s">
        <v>485</v>
      </c>
      <c r="B130" s="11" t="s">
        <v>531</v>
      </c>
      <c r="C130" s="11">
        <v>205</v>
      </c>
      <c r="D130" s="11" t="s">
        <v>9</v>
      </c>
      <c r="E130" s="11" t="s">
        <v>10</v>
      </c>
      <c r="F130" s="12">
        <v>1</v>
      </c>
      <c r="G130" s="9" t="s">
        <v>546</v>
      </c>
      <c r="H130" s="9">
        <f t="shared" si="5"/>
        <v>1</v>
      </c>
      <c r="I130" s="11">
        <v>0</v>
      </c>
      <c r="J130" s="11">
        <v>500</v>
      </c>
      <c r="K130" s="11">
        <v>160</v>
      </c>
      <c r="L130" s="9">
        <v>1</v>
      </c>
      <c r="M130" s="9" t="s">
        <v>544</v>
      </c>
      <c r="N130" s="7"/>
      <c r="O130" s="8">
        <v>1</v>
      </c>
      <c r="P130" s="8">
        <v>1</v>
      </c>
      <c r="Q130" s="7">
        <f t="shared" si="3"/>
        <v>0</v>
      </c>
      <c r="R130" s="7">
        <f t="shared" si="4"/>
        <v>500</v>
      </c>
      <c r="S130" s="8">
        <f>K130*O130/P130</f>
        <v>160</v>
      </c>
      <c r="T130" s="8" t="s">
        <v>530</v>
      </c>
      <c r="U130" s="4"/>
    </row>
    <row r="131" spans="1:21" s="5" customFormat="1" x14ac:dyDescent="0.25">
      <c r="A131" s="11" t="s">
        <v>486</v>
      </c>
      <c r="B131" s="11" t="s">
        <v>533</v>
      </c>
      <c r="C131" s="11">
        <v>206</v>
      </c>
      <c r="D131" s="11" t="s">
        <v>9</v>
      </c>
      <c r="E131" s="11" t="s">
        <v>44</v>
      </c>
      <c r="F131" s="12" t="s">
        <v>550</v>
      </c>
      <c r="G131" s="9" t="s">
        <v>546</v>
      </c>
      <c r="H131" s="9">
        <f t="shared" si="5"/>
        <v>1</v>
      </c>
      <c r="I131" s="11"/>
      <c r="J131" s="11">
        <v>60</v>
      </c>
      <c r="K131" s="11">
        <v>20</v>
      </c>
      <c r="L131" s="9">
        <v>1</v>
      </c>
      <c r="M131" s="9" t="s">
        <v>544</v>
      </c>
      <c r="N131" s="7"/>
      <c r="O131" s="8">
        <v>1</v>
      </c>
      <c r="P131" s="8">
        <v>1</v>
      </c>
      <c r="Q131" s="7">
        <f t="shared" ref="Q131:Q135" si="6">H131*I131</f>
        <v>0</v>
      </c>
      <c r="R131" s="7">
        <f t="shared" ref="R131:R135" si="7">H131*J131</f>
        <v>60</v>
      </c>
      <c r="S131" s="8">
        <f>K131*O131/P131</f>
        <v>20</v>
      </c>
      <c r="T131" s="8" t="s">
        <v>532</v>
      </c>
      <c r="U131" s="4"/>
    </row>
    <row r="132" spans="1:21" s="5" customFormat="1" x14ac:dyDescent="0.25">
      <c r="A132" s="11" t="s">
        <v>487</v>
      </c>
      <c r="B132" s="11" t="s">
        <v>535</v>
      </c>
      <c r="C132" s="11">
        <v>207</v>
      </c>
      <c r="D132" s="11" t="s">
        <v>9</v>
      </c>
      <c r="E132" s="11" t="s">
        <v>99</v>
      </c>
      <c r="F132" s="12" t="s">
        <v>555</v>
      </c>
      <c r="G132" s="9" t="s">
        <v>546</v>
      </c>
      <c r="H132" s="9">
        <f t="shared" si="5"/>
        <v>1</v>
      </c>
      <c r="I132" s="11">
        <v>0</v>
      </c>
      <c r="J132" s="11">
        <v>2500</v>
      </c>
      <c r="K132" s="11">
        <v>160</v>
      </c>
      <c r="L132" s="9">
        <v>1</v>
      </c>
      <c r="M132" s="9" t="s">
        <v>544</v>
      </c>
      <c r="N132" s="7"/>
      <c r="O132" s="8">
        <v>1</v>
      </c>
      <c r="P132" s="8">
        <v>1</v>
      </c>
      <c r="Q132" s="7">
        <f t="shared" si="6"/>
        <v>0</v>
      </c>
      <c r="R132" s="7">
        <f t="shared" si="7"/>
        <v>2500</v>
      </c>
      <c r="S132" s="8">
        <f>K132*O132/P132</f>
        <v>160</v>
      </c>
      <c r="T132" s="8" t="s">
        <v>534</v>
      </c>
      <c r="U132" s="4"/>
    </row>
    <row r="133" spans="1:21" s="5" customFormat="1" x14ac:dyDescent="0.25">
      <c r="A133" s="11" t="s">
        <v>488</v>
      </c>
      <c r="B133" s="11" t="s">
        <v>536</v>
      </c>
      <c r="C133" s="11">
        <v>208</v>
      </c>
      <c r="D133" s="11" t="s">
        <v>9</v>
      </c>
      <c r="E133" s="11" t="s">
        <v>44</v>
      </c>
      <c r="F133" s="12" t="s">
        <v>550</v>
      </c>
      <c r="G133" s="9" t="s">
        <v>546</v>
      </c>
      <c r="H133" s="9">
        <f t="shared" si="5"/>
        <v>1</v>
      </c>
      <c r="I133" s="11">
        <v>0</v>
      </c>
      <c r="J133" s="11">
        <v>10000</v>
      </c>
      <c r="K133" s="11">
        <v>160</v>
      </c>
      <c r="L133" s="9">
        <v>1</v>
      </c>
      <c r="M133" s="9" t="s">
        <v>544</v>
      </c>
      <c r="N133" s="7"/>
      <c r="O133" s="8">
        <v>1</v>
      </c>
      <c r="P133" s="8">
        <v>1</v>
      </c>
      <c r="Q133" s="7">
        <f t="shared" si="6"/>
        <v>0</v>
      </c>
      <c r="R133" s="7">
        <f t="shared" si="7"/>
        <v>10000</v>
      </c>
      <c r="S133" s="8">
        <f>K133*O133/P133</f>
        <v>160</v>
      </c>
      <c r="T133" s="8" t="s">
        <v>537</v>
      </c>
      <c r="U133" s="4"/>
    </row>
    <row r="134" spans="1:21" s="5" customFormat="1" x14ac:dyDescent="0.25">
      <c r="A134" s="11" t="s">
        <v>489</v>
      </c>
      <c r="B134" s="11" t="s">
        <v>536</v>
      </c>
      <c r="C134" s="11">
        <v>209</v>
      </c>
      <c r="D134" s="11" t="s">
        <v>9</v>
      </c>
      <c r="E134" s="11" t="s">
        <v>44</v>
      </c>
      <c r="F134" s="12" t="s">
        <v>550</v>
      </c>
      <c r="G134" s="9" t="s">
        <v>546</v>
      </c>
      <c r="H134" s="9">
        <f t="shared" ref="H134:H135" si="8">O134/P134</f>
        <v>1</v>
      </c>
      <c r="I134" s="11"/>
      <c r="J134" s="11">
        <v>400</v>
      </c>
      <c r="K134" s="11">
        <v>20</v>
      </c>
      <c r="L134" s="9">
        <v>1</v>
      </c>
      <c r="M134" s="9" t="s">
        <v>544</v>
      </c>
      <c r="N134" s="7"/>
      <c r="O134" s="8">
        <v>1</v>
      </c>
      <c r="P134" s="8">
        <v>1</v>
      </c>
      <c r="Q134" s="7">
        <f t="shared" si="6"/>
        <v>0</v>
      </c>
      <c r="R134" s="7">
        <f t="shared" si="7"/>
        <v>400</v>
      </c>
      <c r="S134" s="8">
        <f>K134*O134/P134</f>
        <v>20</v>
      </c>
      <c r="T134" s="8" t="s">
        <v>537</v>
      </c>
      <c r="U134" s="4"/>
    </row>
    <row r="135" spans="1:21" s="5" customFormat="1" x14ac:dyDescent="0.25">
      <c r="A135" s="11" t="s">
        <v>490</v>
      </c>
      <c r="B135" s="11" t="s">
        <v>538</v>
      </c>
      <c r="C135" s="11">
        <v>210</v>
      </c>
      <c r="D135" s="11" t="s">
        <v>11</v>
      </c>
      <c r="E135" s="11" t="s">
        <v>10</v>
      </c>
      <c r="F135" s="12">
        <v>1</v>
      </c>
      <c r="G135" s="9" t="s">
        <v>546</v>
      </c>
      <c r="H135" s="9">
        <f t="shared" si="8"/>
        <v>1</v>
      </c>
      <c r="I135" s="11"/>
      <c r="J135" s="11">
        <v>65535</v>
      </c>
      <c r="K135" s="11">
        <v>0</v>
      </c>
      <c r="L135" s="9">
        <v>1</v>
      </c>
      <c r="M135" s="9" t="s">
        <v>544</v>
      </c>
      <c r="N135" s="7"/>
      <c r="O135" s="8">
        <v>1</v>
      </c>
      <c r="P135" s="8">
        <v>1</v>
      </c>
      <c r="Q135" s="7">
        <f t="shared" si="6"/>
        <v>0</v>
      </c>
      <c r="R135" s="7">
        <f t="shared" si="7"/>
        <v>65535</v>
      </c>
      <c r="S135" s="8">
        <f>K135*O135/P135</f>
        <v>0</v>
      </c>
      <c r="T135" s="8" t="s">
        <v>539</v>
      </c>
      <c r="U135" s="4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3"/>
  <sheetViews>
    <sheetView topLeftCell="D7" workbookViewId="0">
      <selection activeCell="M11" sqref="M11"/>
    </sheetView>
  </sheetViews>
  <sheetFormatPr defaultRowHeight="15" x14ac:dyDescent="0.25"/>
  <cols>
    <col min="2" max="2" width="36.42578125" customWidth="1"/>
    <col min="3" max="4" width="32.85546875" customWidth="1"/>
    <col min="5" max="5" width="26.42578125" customWidth="1"/>
    <col min="6" max="6" width="18.140625" customWidth="1"/>
    <col min="7" max="7" width="17.5703125" customWidth="1"/>
    <col min="8" max="8" width="21" customWidth="1"/>
    <col min="9" max="9" width="5" customWidth="1"/>
    <col min="10" max="10" width="7.42578125" customWidth="1"/>
    <col min="11" max="11" width="8.85546875" customWidth="1"/>
    <col min="12" max="12" width="9.85546875" customWidth="1"/>
    <col min="13" max="13" width="100.5703125" customWidth="1"/>
    <col min="14" max="14" width="17.5703125" customWidth="1"/>
  </cols>
  <sheetData>
    <row r="1" spans="1:14" x14ac:dyDescent="0.25">
      <c r="A1" t="s">
        <v>261</v>
      </c>
      <c r="B1" t="s">
        <v>0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</v>
      </c>
      <c r="J1" t="s">
        <v>3</v>
      </c>
      <c r="K1" t="s">
        <v>268</v>
      </c>
      <c r="L1" t="s">
        <v>269</v>
      </c>
      <c r="M1" t="s">
        <v>270</v>
      </c>
      <c r="N1" t="s">
        <v>262</v>
      </c>
    </row>
    <row r="2" spans="1:14" x14ac:dyDescent="0.25">
      <c r="B2" t="s">
        <v>271</v>
      </c>
      <c r="C2" t="s">
        <v>272</v>
      </c>
      <c r="D2" t="s">
        <v>273</v>
      </c>
      <c r="E2" t="s">
        <v>274</v>
      </c>
      <c r="F2" t="s">
        <v>275</v>
      </c>
      <c r="G2" t="s">
        <v>11</v>
      </c>
      <c r="H2" t="s">
        <v>65</v>
      </c>
      <c r="I2">
        <v>0</v>
      </c>
      <c r="J2">
        <v>200</v>
      </c>
      <c r="K2">
        <v>50</v>
      </c>
      <c r="L2" t="s">
        <v>276</v>
      </c>
      <c r="N2" t="s">
        <v>277</v>
      </c>
    </row>
    <row r="3" spans="1:14" x14ac:dyDescent="0.25">
      <c r="B3" t="s">
        <v>278</v>
      </c>
      <c r="C3" t="s">
        <v>279</v>
      </c>
      <c r="D3" t="str">
        <f t="shared" ref="D3:D27" si="0">C3</f>
        <v>Уставка частоты</v>
      </c>
      <c r="E3" t="s">
        <v>274</v>
      </c>
      <c r="F3" t="s">
        <v>275</v>
      </c>
      <c r="G3" t="s">
        <v>9</v>
      </c>
      <c r="H3" t="s">
        <v>65</v>
      </c>
      <c r="I3">
        <v>0</v>
      </c>
      <c r="J3">
        <v>200</v>
      </c>
      <c r="K3">
        <v>50</v>
      </c>
      <c r="L3" t="s">
        <v>276</v>
      </c>
    </row>
    <row r="4" spans="1:14" x14ac:dyDescent="0.25">
      <c r="B4" t="s">
        <v>280</v>
      </c>
      <c r="C4" t="s">
        <v>281</v>
      </c>
      <c r="D4" t="str">
        <f t="shared" si="0"/>
        <v>Обороты двигателя</v>
      </c>
      <c r="E4" t="s">
        <v>274</v>
      </c>
      <c r="F4" t="s">
        <v>275</v>
      </c>
      <c r="G4" t="s">
        <v>11</v>
      </c>
      <c r="H4" t="s">
        <v>282</v>
      </c>
      <c r="I4">
        <v>0</v>
      </c>
      <c r="J4">
        <v>6000</v>
      </c>
      <c r="K4">
        <v>0</v>
      </c>
      <c r="L4" t="s">
        <v>283</v>
      </c>
    </row>
    <row r="5" spans="1:14" x14ac:dyDescent="0.25">
      <c r="B5" t="s">
        <v>284</v>
      </c>
      <c r="C5" t="s">
        <v>285</v>
      </c>
      <c r="D5" t="str">
        <f t="shared" si="0"/>
        <v>Ток двигателя</v>
      </c>
      <c r="E5" t="s">
        <v>274</v>
      </c>
      <c r="F5" t="s">
        <v>275</v>
      </c>
      <c r="G5" t="s">
        <v>11</v>
      </c>
      <c r="H5" t="s">
        <v>99</v>
      </c>
      <c r="I5">
        <v>0</v>
      </c>
      <c r="J5">
        <v>2000</v>
      </c>
      <c r="K5">
        <v>0</v>
      </c>
      <c r="L5" t="s">
        <v>286</v>
      </c>
    </row>
    <row r="6" spans="1:14" x14ac:dyDescent="0.25">
      <c r="B6" t="s">
        <v>287</v>
      </c>
      <c r="C6" t="s">
        <v>288</v>
      </c>
      <c r="D6" t="str">
        <f t="shared" si="0"/>
        <v>Загрузка двигателя</v>
      </c>
      <c r="E6" t="s">
        <v>274</v>
      </c>
      <c r="F6" t="s">
        <v>275</v>
      </c>
      <c r="G6" t="s">
        <v>11</v>
      </c>
      <c r="H6" t="s">
        <v>226</v>
      </c>
      <c r="I6">
        <v>0</v>
      </c>
      <c r="J6">
        <v>200</v>
      </c>
      <c r="K6">
        <v>0</v>
      </c>
      <c r="L6" t="s">
        <v>283</v>
      </c>
    </row>
    <row r="7" spans="1:14" x14ac:dyDescent="0.25">
      <c r="B7" t="s">
        <v>289</v>
      </c>
      <c r="C7" t="s">
        <v>290</v>
      </c>
      <c r="D7" t="str">
        <f t="shared" si="0"/>
        <v>Турбинное вращение</v>
      </c>
      <c r="E7" t="s">
        <v>274</v>
      </c>
      <c r="F7" t="s">
        <v>275</v>
      </c>
      <c r="G7" t="s">
        <v>11</v>
      </c>
      <c r="H7" t="s">
        <v>65</v>
      </c>
      <c r="I7">
        <v>0</v>
      </c>
      <c r="J7">
        <v>200</v>
      </c>
      <c r="K7">
        <v>0</v>
      </c>
      <c r="L7" t="s">
        <v>291</v>
      </c>
    </row>
    <row r="8" spans="1:14" x14ac:dyDescent="0.25">
      <c r="B8" t="s">
        <v>292</v>
      </c>
      <c r="C8" t="s">
        <v>293</v>
      </c>
      <c r="D8" t="s">
        <v>294</v>
      </c>
      <c r="E8" t="s">
        <v>274</v>
      </c>
      <c r="F8" t="s">
        <v>275</v>
      </c>
      <c r="G8" t="s">
        <v>11</v>
      </c>
      <c r="H8" t="s">
        <v>295</v>
      </c>
      <c r="I8">
        <v>0</v>
      </c>
      <c r="J8">
        <v>9999</v>
      </c>
      <c r="K8">
        <v>9999</v>
      </c>
      <c r="L8" t="s">
        <v>283</v>
      </c>
    </row>
    <row r="9" spans="1:14" x14ac:dyDescent="0.25">
      <c r="B9" t="s">
        <v>296</v>
      </c>
      <c r="C9" t="s">
        <v>297</v>
      </c>
      <c r="D9" t="str">
        <f t="shared" si="0"/>
        <v>Давление на приёме</v>
      </c>
      <c r="E9" t="s">
        <v>274</v>
      </c>
      <c r="F9" t="s">
        <v>275</v>
      </c>
      <c r="G9" t="s">
        <v>11</v>
      </c>
      <c r="H9" t="s">
        <v>298</v>
      </c>
      <c r="I9">
        <v>0</v>
      </c>
      <c r="J9">
        <v>60</v>
      </c>
      <c r="K9">
        <v>0</v>
      </c>
      <c r="L9" t="s">
        <v>299</v>
      </c>
    </row>
    <row r="10" spans="1:14" x14ac:dyDescent="0.25">
      <c r="B10" t="s">
        <v>300</v>
      </c>
      <c r="C10" t="s">
        <v>301</v>
      </c>
      <c r="D10" t="s">
        <v>302</v>
      </c>
      <c r="E10" t="s">
        <v>274</v>
      </c>
      <c r="F10" t="s">
        <v>275</v>
      </c>
      <c r="G10" t="s">
        <v>11</v>
      </c>
      <c r="H10" t="s">
        <v>45</v>
      </c>
      <c r="I10">
        <v>0</v>
      </c>
      <c r="J10">
        <v>300</v>
      </c>
      <c r="K10">
        <v>0</v>
      </c>
      <c r="L10" t="s">
        <v>276</v>
      </c>
    </row>
    <row r="11" spans="1:14" x14ac:dyDescent="0.25">
      <c r="B11" t="s">
        <v>303</v>
      </c>
      <c r="C11" t="s">
        <v>304</v>
      </c>
      <c r="D11" t="s">
        <v>305</v>
      </c>
      <c r="E11" t="s">
        <v>274</v>
      </c>
      <c r="F11" t="s">
        <v>275</v>
      </c>
      <c r="G11" t="s">
        <v>11</v>
      </c>
      <c r="H11" t="s">
        <v>10</v>
      </c>
      <c r="I11">
        <v>0</v>
      </c>
      <c r="J11">
        <v>1</v>
      </c>
      <c r="K11">
        <v>0</v>
      </c>
      <c r="L11" t="s">
        <v>306</v>
      </c>
      <c r="M11" t="s">
        <v>307</v>
      </c>
    </row>
    <row r="12" spans="1:14" x14ac:dyDescent="0.25">
      <c r="B12" t="s">
        <v>308</v>
      </c>
      <c r="C12" t="s">
        <v>309</v>
      </c>
      <c r="D12" t="s">
        <v>310</v>
      </c>
      <c r="E12" t="s">
        <v>274</v>
      </c>
      <c r="F12" t="s">
        <v>275</v>
      </c>
      <c r="G12" t="s">
        <v>11</v>
      </c>
      <c r="H12" t="s">
        <v>13</v>
      </c>
      <c r="I12">
        <v>0</v>
      </c>
      <c r="J12">
        <v>1000</v>
      </c>
      <c r="K12">
        <v>0</v>
      </c>
      <c r="L12" t="s">
        <v>283</v>
      </c>
    </row>
    <row r="13" spans="1:14" x14ac:dyDescent="0.25">
      <c r="B13" t="s">
        <v>311</v>
      </c>
      <c r="C13" t="s">
        <v>312</v>
      </c>
      <c r="D13" t="s">
        <v>313</v>
      </c>
      <c r="E13" t="s">
        <v>274</v>
      </c>
      <c r="F13" t="s">
        <v>275</v>
      </c>
      <c r="G13" t="s">
        <v>11</v>
      </c>
      <c r="H13" t="s">
        <v>10</v>
      </c>
      <c r="I13">
        <v>0</v>
      </c>
      <c r="J13">
        <v>4</v>
      </c>
      <c r="K13">
        <v>0</v>
      </c>
      <c r="L13" t="s">
        <v>306</v>
      </c>
      <c r="M13" t="s">
        <v>314</v>
      </c>
    </row>
    <row r="14" spans="1:14" x14ac:dyDescent="0.25">
      <c r="B14" t="s">
        <v>315</v>
      </c>
      <c r="C14" t="s">
        <v>316</v>
      </c>
      <c r="D14" t="str">
        <f t="shared" si="0"/>
        <v>Тип двигателя</v>
      </c>
      <c r="E14" t="s">
        <v>274</v>
      </c>
      <c r="F14" t="s">
        <v>275</v>
      </c>
      <c r="G14" t="s">
        <v>11</v>
      </c>
      <c r="H14" t="s">
        <v>10</v>
      </c>
      <c r="I14">
        <v>0</v>
      </c>
      <c r="J14">
        <v>1</v>
      </c>
      <c r="K14">
        <v>0</v>
      </c>
      <c r="L14" t="s">
        <v>306</v>
      </c>
      <c r="M14" t="s">
        <v>317</v>
      </c>
    </row>
    <row r="15" spans="1:14" x14ac:dyDescent="0.25">
      <c r="B15" t="s">
        <v>318</v>
      </c>
      <c r="C15" t="s">
        <v>319</v>
      </c>
      <c r="D15" t="str">
        <f t="shared" si="0"/>
        <v>Тип управления</v>
      </c>
      <c r="E15" t="s">
        <v>274</v>
      </c>
      <c r="F15" t="s">
        <v>275</v>
      </c>
      <c r="G15" t="s">
        <v>11</v>
      </c>
      <c r="H15" t="s">
        <v>10</v>
      </c>
      <c r="I15">
        <v>0</v>
      </c>
      <c r="J15">
        <v>1</v>
      </c>
      <c r="K15">
        <v>0</v>
      </c>
      <c r="L15" t="s">
        <v>306</v>
      </c>
      <c r="M15" t="s">
        <v>320</v>
      </c>
    </row>
    <row r="16" spans="1:14" x14ac:dyDescent="0.25">
      <c r="B16" t="s">
        <v>321</v>
      </c>
      <c r="C16" s="1" t="s">
        <v>322</v>
      </c>
      <c r="D16" t="s">
        <v>323</v>
      </c>
      <c r="E16" t="s">
        <v>274</v>
      </c>
      <c r="F16" t="s">
        <v>275</v>
      </c>
      <c r="G16" t="s">
        <v>11</v>
      </c>
      <c r="H16" t="s">
        <v>10</v>
      </c>
      <c r="I16">
        <v>0</v>
      </c>
      <c r="J16">
        <v>1</v>
      </c>
      <c r="K16">
        <v>0</v>
      </c>
      <c r="L16" t="s">
        <v>306</v>
      </c>
      <c r="M16" t="s">
        <v>324</v>
      </c>
    </row>
    <row r="17" spans="2:14" x14ac:dyDescent="0.25">
      <c r="B17" t="s">
        <v>325</v>
      </c>
      <c r="C17" s="1" t="s">
        <v>326</v>
      </c>
      <c r="D17" t="s">
        <v>327</v>
      </c>
      <c r="E17" t="s">
        <v>274</v>
      </c>
      <c r="F17" t="s">
        <v>275</v>
      </c>
      <c r="G17" t="s">
        <v>11</v>
      </c>
      <c r="H17" t="s">
        <v>10</v>
      </c>
      <c r="I17">
        <v>0</v>
      </c>
      <c r="K17">
        <v>0</v>
      </c>
      <c r="L17" t="s">
        <v>306</v>
      </c>
      <c r="M17" t="s">
        <v>328</v>
      </c>
    </row>
    <row r="18" spans="2:14" x14ac:dyDescent="0.25">
      <c r="B18" t="s">
        <v>329</v>
      </c>
      <c r="C18" t="s">
        <v>330</v>
      </c>
      <c r="D18" t="str">
        <f t="shared" si="0"/>
        <v>Режим работы</v>
      </c>
      <c r="E18" t="s">
        <v>274</v>
      </c>
      <c r="F18" t="s">
        <v>275</v>
      </c>
      <c r="G18" t="s">
        <v>11</v>
      </c>
      <c r="H18" t="s">
        <v>10</v>
      </c>
      <c r="I18">
        <v>0</v>
      </c>
      <c r="J18">
        <v>3</v>
      </c>
      <c r="K18">
        <v>0</v>
      </c>
      <c r="L18" t="s">
        <v>306</v>
      </c>
      <c r="M18" t="s">
        <v>331</v>
      </c>
      <c r="N18" t="s">
        <v>332</v>
      </c>
    </row>
    <row r="19" spans="2:14" x14ac:dyDescent="0.25">
      <c r="B19" t="s">
        <v>333</v>
      </c>
      <c r="C19" t="s">
        <v>334</v>
      </c>
      <c r="D19" t="s">
        <v>335</v>
      </c>
      <c r="E19" s="2" t="s">
        <v>336</v>
      </c>
      <c r="F19" t="s">
        <v>275</v>
      </c>
      <c r="G19" t="s">
        <v>11</v>
      </c>
      <c r="H19" t="s">
        <v>99</v>
      </c>
      <c r="I19">
        <v>0</v>
      </c>
      <c r="J19">
        <v>2000</v>
      </c>
      <c r="K19">
        <v>0</v>
      </c>
      <c r="L19" t="s">
        <v>286</v>
      </c>
    </row>
    <row r="20" spans="2:14" x14ac:dyDescent="0.25">
      <c r="B20" t="s">
        <v>337</v>
      </c>
      <c r="C20" t="s">
        <v>338</v>
      </c>
      <c r="D20" t="s">
        <v>339</v>
      </c>
      <c r="E20" s="2" t="s">
        <v>336</v>
      </c>
      <c r="F20" t="s">
        <v>275</v>
      </c>
      <c r="G20" t="s">
        <v>11</v>
      </c>
      <c r="H20" t="s">
        <v>99</v>
      </c>
      <c r="I20">
        <v>0</v>
      </c>
      <c r="J20">
        <v>2000</v>
      </c>
      <c r="K20">
        <v>0</v>
      </c>
      <c r="L20" t="s">
        <v>286</v>
      </c>
    </row>
    <row r="21" spans="2:14" x14ac:dyDescent="0.25">
      <c r="B21" t="s">
        <v>340</v>
      </c>
      <c r="C21" t="s">
        <v>341</v>
      </c>
      <c r="D21" t="s">
        <v>342</v>
      </c>
      <c r="E21" s="2" t="s">
        <v>336</v>
      </c>
      <c r="F21" t="s">
        <v>275</v>
      </c>
      <c r="G21" t="s">
        <v>11</v>
      </c>
      <c r="H21" t="s">
        <v>99</v>
      </c>
      <c r="I21">
        <v>0</v>
      </c>
      <c r="J21">
        <v>2000</v>
      </c>
      <c r="K21">
        <v>0</v>
      </c>
      <c r="L21" t="s">
        <v>286</v>
      </c>
    </row>
    <row r="22" spans="2:14" x14ac:dyDescent="0.25">
      <c r="B22" t="s">
        <v>308</v>
      </c>
      <c r="C22" t="s">
        <v>309</v>
      </c>
      <c r="D22" t="s">
        <v>310</v>
      </c>
      <c r="E22" s="2" t="s">
        <v>336</v>
      </c>
      <c r="F22" t="s">
        <v>275</v>
      </c>
      <c r="G22" t="s">
        <v>11</v>
      </c>
      <c r="H22" t="s">
        <v>13</v>
      </c>
      <c r="I22">
        <v>0</v>
      </c>
      <c r="J22">
        <v>1000</v>
      </c>
      <c r="K22">
        <v>0</v>
      </c>
      <c r="L22" t="s">
        <v>283</v>
      </c>
    </row>
    <row r="23" spans="2:14" x14ac:dyDescent="0.25">
      <c r="C23" t="s">
        <v>343</v>
      </c>
      <c r="D23" t="str">
        <f t="shared" si="0"/>
        <v>Ток Id</v>
      </c>
      <c r="E23" s="2" t="s">
        <v>336</v>
      </c>
      <c r="F23" t="s">
        <v>275</v>
      </c>
      <c r="G23" t="s">
        <v>11</v>
      </c>
      <c r="H23" t="s">
        <v>99</v>
      </c>
    </row>
    <row r="24" spans="2:14" x14ac:dyDescent="0.25">
      <c r="C24" t="s">
        <v>344</v>
      </c>
      <c r="D24" t="str">
        <f t="shared" si="0"/>
        <v>Напряжение Ud</v>
      </c>
      <c r="E24" s="2" t="s">
        <v>336</v>
      </c>
      <c r="F24" t="s">
        <v>275</v>
      </c>
      <c r="G24" t="s">
        <v>11</v>
      </c>
      <c r="H24" t="s">
        <v>13</v>
      </c>
    </row>
    <row r="25" spans="2:14" x14ac:dyDescent="0.25">
      <c r="C25" t="s">
        <v>345</v>
      </c>
      <c r="D25" t="s">
        <v>346</v>
      </c>
      <c r="E25" s="2" t="s">
        <v>336</v>
      </c>
      <c r="F25" t="s">
        <v>275</v>
      </c>
      <c r="G25" t="s">
        <v>11</v>
      </c>
    </row>
    <row r="26" spans="2:14" x14ac:dyDescent="0.25">
      <c r="C26" t="s">
        <v>347</v>
      </c>
      <c r="D26" t="str">
        <f t="shared" si="0"/>
        <v>Активная мощность</v>
      </c>
      <c r="E26" s="2" t="s">
        <v>336</v>
      </c>
      <c r="F26" t="s">
        <v>275</v>
      </c>
      <c r="G26" t="s">
        <v>11</v>
      </c>
    </row>
    <row r="27" spans="2:14" x14ac:dyDescent="0.25">
      <c r="C27" t="s">
        <v>348</v>
      </c>
      <c r="D27" t="str">
        <f t="shared" si="0"/>
        <v>Полная мощность</v>
      </c>
      <c r="E27" s="2" t="s">
        <v>336</v>
      </c>
      <c r="F27" t="s">
        <v>275</v>
      </c>
      <c r="G27" t="s">
        <v>11</v>
      </c>
    </row>
    <row r="33" spans="2:13" x14ac:dyDescent="0.25">
      <c r="B33" t="s">
        <v>315</v>
      </c>
      <c r="C33" t="s">
        <v>316</v>
      </c>
      <c r="E33" t="s">
        <v>349</v>
      </c>
      <c r="M33" t="s">
        <v>350</v>
      </c>
    </row>
    <row r="34" spans="2:13" x14ac:dyDescent="0.25">
      <c r="B34" t="s">
        <v>351</v>
      </c>
      <c r="C34" t="s">
        <v>352</v>
      </c>
      <c r="E34" t="s">
        <v>349</v>
      </c>
    </row>
    <row r="35" spans="2:13" x14ac:dyDescent="0.25">
      <c r="B35" t="s">
        <v>353</v>
      </c>
      <c r="C35" t="s">
        <v>354</v>
      </c>
      <c r="E35" t="s">
        <v>349</v>
      </c>
    </row>
    <row r="36" spans="2:13" x14ac:dyDescent="0.25">
      <c r="B36" t="s">
        <v>355</v>
      </c>
      <c r="C36" t="s">
        <v>356</v>
      </c>
      <c r="E36" t="s">
        <v>349</v>
      </c>
    </row>
    <row r="37" spans="2:13" x14ac:dyDescent="0.25">
      <c r="B37" t="s">
        <v>357</v>
      </c>
      <c r="C37" t="s">
        <v>358</v>
      </c>
      <c r="E37" t="s">
        <v>349</v>
      </c>
    </row>
    <row r="38" spans="2:13" x14ac:dyDescent="0.25">
      <c r="B38" t="s">
        <v>359</v>
      </c>
      <c r="C38" t="s">
        <v>360</v>
      </c>
      <c r="E38" t="s">
        <v>349</v>
      </c>
    </row>
    <row r="39" spans="2:13" x14ac:dyDescent="0.25">
      <c r="B39" t="s">
        <v>361</v>
      </c>
      <c r="C39" t="s">
        <v>362</v>
      </c>
      <c r="E39" t="s">
        <v>349</v>
      </c>
    </row>
    <row r="40" spans="2:13" x14ac:dyDescent="0.25">
      <c r="B40" t="s">
        <v>363</v>
      </c>
      <c r="C40" t="s">
        <v>364</v>
      </c>
      <c r="E40" t="s">
        <v>349</v>
      </c>
    </row>
    <row r="41" spans="2:13" x14ac:dyDescent="0.25">
      <c r="B41" t="s">
        <v>365</v>
      </c>
      <c r="C41" t="s">
        <v>366</v>
      </c>
      <c r="E41" t="s">
        <v>349</v>
      </c>
    </row>
    <row r="42" spans="2:13" x14ac:dyDescent="0.25">
      <c r="B42" t="s">
        <v>367</v>
      </c>
      <c r="C42" t="s">
        <v>368</v>
      </c>
      <c r="E42" t="s">
        <v>349</v>
      </c>
    </row>
    <row r="43" spans="2:13" x14ac:dyDescent="0.25">
      <c r="B43" t="s">
        <v>318</v>
      </c>
      <c r="C43" t="s">
        <v>319</v>
      </c>
      <c r="E43" t="s">
        <v>369</v>
      </c>
    </row>
    <row r="44" spans="2:13" x14ac:dyDescent="0.25">
      <c r="B44" t="s">
        <v>321</v>
      </c>
      <c r="C44" s="1" t="s">
        <v>322</v>
      </c>
      <c r="D44" s="1"/>
      <c r="E44" t="s">
        <v>369</v>
      </c>
    </row>
    <row r="45" spans="2:13" x14ac:dyDescent="0.25">
      <c r="B45" t="s">
        <v>370</v>
      </c>
      <c r="C45" t="s">
        <v>371</v>
      </c>
      <c r="E45" t="s">
        <v>369</v>
      </c>
    </row>
    <row r="46" spans="2:13" x14ac:dyDescent="0.25">
      <c r="B46" t="s">
        <v>372</v>
      </c>
      <c r="C46" t="s">
        <v>373</v>
      </c>
      <c r="E46" t="s">
        <v>369</v>
      </c>
    </row>
    <row r="47" spans="2:13" x14ac:dyDescent="0.25">
      <c r="B47" t="s">
        <v>278</v>
      </c>
      <c r="C47" t="s">
        <v>374</v>
      </c>
      <c r="E47" t="s">
        <v>369</v>
      </c>
    </row>
    <row r="48" spans="2:13" x14ac:dyDescent="0.25">
      <c r="B48" t="s">
        <v>375</v>
      </c>
      <c r="C48" s="1" t="s">
        <v>376</v>
      </c>
      <c r="D48" s="1"/>
      <c r="E48" t="s">
        <v>369</v>
      </c>
    </row>
    <row r="49" spans="2:5" x14ac:dyDescent="0.25">
      <c r="B49" t="s">
        <v>377</v>
      </c>
      <c r="C49" t="s">
        <v>378</v>
      </c>
      <c r="E49" t="s">
        <v>369</v>
      </c>
    </row>
    <row r="51" spans="2:5" x14ac:dyDescent="0.25">
      <c r="B51" t="s">
        <v>379</v>
      </c>
      <c r="C51" t="s">
        <v>380</v>
      </c>
      <c r="E51" t="s">
        <v>381</v>
      </c>
    </row>
    <row r="52" spans="2:5" x14ac:dyDescent="0.25">
      <c r="B52" t="s">
        <v>382</v>
      </c>
      <c r="C52" t="s">
        <v>383</v>
      </c>
    </row>
    <row r="53" spans="2:5" x14ac:dyDescent="0.25">
      <c r="B53" t="s">
        <v>384</v>
      </c>
      <c r="C53" t="s">
        <v>385</v>
      </c>
    </row>
    <row r="54" spans="2:5" x14ac:dyDescent="0.25">
      <c r="B54" t="s">
        <v>386</v>
      </c>
      <c r="C54" t="s">
        <v>387</v>
      </c>
      <c r="E54" t="s">
        <v>349</v>
      </c>
    </row>
    <row r="55" spans="2:5" x14ac:dyDescent="0.25">
      <c r="B55" t="s">
        <v>388</v>
      </c>
      <c r="C55" t="s">
        <v>389</v>
      </c>
      <c r="E55" t="s">
        <v>390</v>
      </c>
    </row>
    <row r="56" spans="2:5" x14ac:dyDescent="0.25">
      <c r="B56" t="s">
        <v>391</v>
      </c>
      <c r="C56" t="s">
        <v>392</v>
      </c>
      <c r="E56" t="s">
        <v>390</v>
      </c>
    </row>
    <row r="57" spans="2:5" x14ac:dyDescent="0.25">
      <c r="B57" t="s">
        <v>393</v>
      </c>
      <c r="C57" t="s">
        <v>394</v>
      </c>
      <c r="E57" t="s">
        <v>390</v>
      </c>
    </row>
    <row r="58" spans="2:5" x14ac:dyDescent="0.25">
      <c r="B58" t="s">
        <v>395</v>
      </c>
      <c r="C58" t="s">
        <v>396</v>
      </c>
      <c r="E58" t="s">
        <v>390</v>
      </c>
    </row>
    <row r="59" spans="2:5" x14ac:dyDescent="0.25">
      <c r="B59" t="s">
        <v>397</v>
      </c>
      <c r="C59" t="s">
        <v>398</v>
      </c>
      <c r="E59" t="s">
        <v>390</v>
      </c>
    </row>
    <row r="60" spans="2:5" x14ac:dyDescent="0.25">
      <c r="B60" t="s">
        <v>399</v>
      </c>
      <c r="C60" t="s">
        <v>400</v>
      </c>
      <c r="E60" t="s">
        <v>390</v>
      </c>
    </row>
    <row r="61" spans="2:5" x14ac:dyDescent="0.25">
      <c r="B61" t="s">
        <v>401</v>
      </c>
      <c r="C61" t="s">
        <v>402</v>
      </c>
      <c r="E61" t="s">
        <v>390</v>
      </c>
    </row>
    <row r="62" spans="2:5" x14ac:dyDescent="0.25">
      <c r="B62" t="s">
        <v>403</v>
      </c>
      <c r="C62" t="s">
        <v>404</v>
      </c>
      <c r="E62" t="s">
        <v>405</v>
      </c>
    </row>
    <row r="63" spans="2:5" x14ac:dyDescent="0.25">
      <c r="E63" t="s">
        <v>406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97"/>
  <sheetViews>
    <sheetView tabSelected="1" zoomScale="85" zoomScaleNormal="85" workbookViewId="0">
      <pane ySplit="1" topLeftCell="A118" activePane="bottomLeft" state="frozen"/>
      <selection pane="bottomLeft" activeCell="L127" sqref="L127"/>
    </sheetView>
  </sheetViews>
  <sheetFormatPr defaultRowHeight="15" x14ac:dyDescent="0.25"/>
  <cols>
    <col min="1" max="1" width="9" style="16" customWidth="1"/>
    <col min="2" max="2" width="63.42578125" style="15" customWidth="1"/>
    <col min="3" max="3" width="39.7109375" style="15" customWidth="1"/>
    <col min="4" max="4" width="30.42578125" style="15" customWidth="1"/>
    <col min="5" max="5" width="14" style="15" customWidth="1"/>
    <col min="6" max="6" width="21.42578125" style="15" customWidth="1"/>
    <col min="7" max="7" width="19.5703125" style="15" customWidth="1"/>
    <col min="8" max="8" width="23.5703125" style="15" customWidth="1"/>
    <col min="9" max="9" width="18.28515625" style="15" customWidth="1"/>
    <col min="10" max="10" width="11.5703125" style="15" customWidth="1"/>
    <col min="11" max="11" width="9" style="15" customWidth="1"/>
    <col min="12" max="14" width="11.140625" style="15" customWidth="1"/>
    <col min="15" max="15" width="66.28515625" style="15" customWidth="1"/>
    <col min="16" max="18" width="14.7109375" style="15" customWidth="1"/>
    <col min="19" max="19" width="43.28515625" style="15" customWidth="1"/>
    <col min="20" max="16384" width="9.140625" style="15"/>
  </cols>
  <sheetData>
    <row r="1" spans="1:20" x14ac:dyDescent="0.25">
      <c r="A1" s="14" t="s">
        <v>261</v>
      </c>
      <c r="B1" s="14"/>
      <c r="C1" s="14" t="s">
        <v>306</v>
      </c>
      <c r="D1" s="14" t="s">
        <v>1962</v>
      </c>
      <c r="E1" s="14" t="s">
        <v>1952</v>
      </c>
      <c r="F1" s="14" t="s">
        <v>1948</v>
      </c>
      <c r="G1" s="14" t="s">
        <v>1949</v>
      </c>
      <c r="H1" s="14" t="s">
        <v>1950</v>
      </c>
      <c r="I1" s="14" t="s">
        <v>1955</v>
      </c>
      <c r="J1" s="14" t="s">
        <v>1956</v>
      </c>
      <c r="K1" s="14" t="s">
        <v>1951</v>
      </c>
      <c r="L1" s="14" t="s">
        <v>2077</v>
      </c>
      <c r="M1" s="14" t="s">
        <v>2078</v>
      </c>
      <c r="N1" s="14" t="s">
        <v>2079</v>
      </c>
      <c r="O1" s="14" t="s">
        <v>1968</v>
      </c>
      <c r="P1" s="14" t="s">
        <v>2052</v>
      </c>
      <c r="Q1" s="14" t="s">
        <v>2053</v>
      </c>
      <c r="R1" s="14" t="s">
        <v>2054</v>
      </c>
      <c r="S1" s="14"/>
      <c r="T1" s="14"/>
    </row>
    <row r="2" spans="1:20" x14ac:dyDescent="0.25">
      <c r="A2" s="14">
        <v>0</v>
      </c>
      <c r="B2" s="14" t="s">
        <v>562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 t="s">
        <v>716</v>
      </c>
      <c r="T2" s="14"/>
    </row>
    <row r="3" spans="1:20" x14ac:dyDescent="0.25">
      <c r="A3" s="14">
        <f>A2+1</f>
        <v>1</v>
      </c>
      <c r="B3" s="14" t="s">
        <v>573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 t="s">
        <v>574</v>
      </c>
      <c r="T3" s="14"/>
    </row>
    <row r="4" spans="1:20" x14ac:dyDescent="0.25">
      <c r="A4" s="14">
        <f t="shared" ref="A4:A67" si="0">A3+1</f>
        <v>2</v>
      </c>
      <c r="B4" s="14" t="s">
        <v>575</v>
      </c>
      <c r="C4" s="14" t="s">
        <v>1963</v>
      </c>
      <c r="D4" s="14" t="s">
        <v>1953</v>
      </c>
      <c r="E4" s="14"/>
      <c r="F4" s="14" t="s">
        <v>275</v>
      </c>
      <c r="G4" s="14" t="s">
        <v>11</v>
      </c>
      <c r="H4" s="14" t="s">
        <v>99</v>
      </c>
      <c r="I4" s="14" t="s">
        <v>555</v>
      </c>
      <c r="J4" s="14" t="s">
        <v>1977</v>
      </c>
      <c r="K4" s="14" t="s">
        <v>286</v>
      </c>
      <c r="L4" s="14"/>
      <c r="M4" s="14"/>
      <c r="N4" s="14"/>
      <c r="O4" s="14"/>
      <c r="P4" s="14"/>
      <c r="Q4" s="14"/>
      <c r="R4" s="14"/>
      <c r="S4" s="14" t="s">
        <v>576</v>
      </c>
      <c r="T4" s="14"/>
    </row>
    <row r="5" spans="1:20" x14ac:dyDescent="0.25">
      <c r="A5" s="14">
        <f t="shared" si="0"/>
        <v>3</v>
      </c>
      <c r="B5" s="14" t="s">
        <v>577</v>
      </c>
      <c r="C5" s="14" t="s">
        <v>1964</v>
      </c>
      <c r="D5" s="14" t="s">
        <v>1954</v>
      </c>
      <c r="E5" s="14"/>
      <c r="F5" s="14" t="s">
        <v>275</v>
      </c>
      <c r="G5" s="14" t="s">
        <v>11</v>
      </c>
      <c r="H5" s="14" t="s">
        <v>99</v>
      </c>
      <c r="I5" s="14" t="s">
        <v>555</v>
      </c>
      <c r="J5" s="14" t="s">
        <v>1977</v>
      </c>
      <c r="K5" s="14" t="s">
        <v>286</v>
      </c>
      <c r="L5" s="14"/>
      <c r="M5" s="14"/>
      <c r="N5" s="14"/>
      <c r="O5" s="14"/>
      <c r="P5" s="14"/>
      <c r="Q5" s="14"/>
      <c r="R5" s="14"/>
      <c r="S5" s="14" t="s">
        <v>578</v>
      </c>
      <c r="T5" s="14"/>
    </row>
    <row r="6" spans="1:20" x14ac:dyDescent="0.25">
      <c r="A6" s="14">
        <f t="shared" si="0"/>
        <v>4</v>
      </c>
      <c r="B6" s="14" t="s">
        <v>579</v>
      </c>
      <c r="C6" s="14" t="s">
        <v>1965</v>
      </c>
      <c r="D6" s="14" t="s">
        <v>1966</v>
      </c>
      <c r="E6" s="14"/>
      <c r="F6" s="14" t="s">
        <v>275</v>
      </c>
      <c r="G6" s="14" t="s">
        <v>11</v>
      </c>
      <c r="H6" s="14" t="s">
        <v>99</v>
      </c>
      <c r="I6" s="14" t="s">
        <v>555</v>
      </c>
      <c r="J6" s="14" t="s">
        <v>1977</v>
      </c>
      <c r="K6" s="14" t="s">
        <v>286</v>
      </c>
      <c r="L6" s="14"/>
      <c r="M6" s="14"/>
      <c r="N6" s="14"/>
      <c r="O6" s="14"/>
      <c r="P6" s="14"/>
      <c r="Q6" s="14"/>
      <c r="R6" s="14"/>
      <c r="S6" s="14" t="s">
        <v>580</v>
      </c>
      <c r="T6" s="14"/>
    </row>
    <row r="7" spans="1:20" x14ac:dyDescent="0.25">
      <c r="A7" s="14">
        <f t="shared" si="0"/>
        <v>5</v>
      </c>
      <c r="B7" s="14" t="s">
        <v>613</v>
      </c>
      <c r="C7" s="14" t="s">
        <v>1957</v>
      </c>
      <c r="D7" s="14"/>
      <c r="E7" s="14"/>
      <c r="F7" s="14" t="s">
        <v>275</v>
      </c>
      <c r="G7" s="14" t="s">
        <v>11</v>
      </c>
      <c r="H7" s="14" t="s">
        <v>226</v>
      </c>
      <c r="I7" s="14" t="s">
        <v>1958</v>
      </c>
      <c r="J7" s="14" t="s">
        <v>1958</v>
      </c>
      <c r="K7" s="14" t="s">
        <v>1959</v>
      </c>
      <c r="L7" s="14"/>
      <c r="M7" s="14"/>
      <c r="N7" s="14"/>
      <c r="O7" s="14"/>
      <c r="P7" s="14"/>
      <c r="Q7" s="14"/>
      <c r="R7" s="14"/>
      <c r="S7" s="14" t="s">
        <v>614</v>
      </c>
      <c r="T7" s="14"/>
    </row>
    <row r="8" spans="1:20" x14ac:dyDescent="0.25">
      <c r="A8" s="14">
        <f t="shared" si="0"/>
        <v>6</v>
      </c>
      <c r="B8" s="14" t="s">
        <v>284</v>
      </c>
      <c r="C8" s="14" t="s">
        <v>285</v>
      </c>
      <c r="D8" s="14" t="s">
        <v>1960</v>
      </c>
      <c r="E8" s="14"/>
      <c r="F8" s="14" t="s">
        <v>275</v>
      </c>
      <c r="G8" s="14" t="s">
        <v>11</v>
      </c>
      <c r="H8" s="14" t="s">
        <v>99</v>
      </c>
      <c r="I8" s="14" t="s">
        <v>555</v>
      </c>
      <c r="J8" s="14" t="s">
        <v>1977</v>
      </c>
      <c r="K8" s="14" t="s">
        <v>286</v>
      </c>
      <c r="L8" s="14"/>
      <c r="M8" s="14"/>
      <c r="N8" s="14"/>
      <c r="O8" s="14"/>
      <c r="P8" s="14"/>
      <c r="Q8" s="14"/>
      <c r="R8" s="14"/>
      <c r="S8" s="14" t="s">
        <v>581</v>
      </c>
      <c r="T8" s="14"/>
    </row>
    <row r="9" spans="1:20" x14ac:dyDescent="0.25">
      <c r="A9" s="14">
        <f t="shared" si="0"/>
        <v>7</v>
      </c>
      <c r="B9" s="14" t="s">
        <v>287</v>
      </c>
      <c r="C9" s="14" t="s">
        <v>1961</v>
      </c>
      <c r="D9" s="14" t="s">
        <v>1967</v>
      </c>
      <c r="E9" s="14"/>
      <c r="F9" s="14" t="s">
        <v>275</v>
      </c>
      <c r="G9" s="14" t="s">
        <v>11</v>
      </c>
      <c r="H9" s="14" t="s">
        <v>226</v>
      </c>
      <c r="I9" s="14" t="s">
        <v>1958</v>
      </c>
      <c r="J9" s="14" t="s">
        <v>1958</v>
      </c>
      <c r="K9" s="14" t="s">
        <v>1959</v>
      </c>
      <c r="L9" s="14"/>
      <c r="M9" s="14"/>
      <c r="N9" s="14"/>
      <c r="O9" s="14"/>
      <c r="P9" s="14"/>
      <c r="Q9" s="14"/>
      <c r="R9" s="14"/>
      <c r="S9" s="14" t="s">
        <v>582</v>
      </c>
      <c r="T9" s="14"/>
    </row>
    <row r="10" spans="1:20" x14ac:dyDescent="0.25">
      <c r="A10" s="14">
        <f t="shared" si="0"/>
        <v>8</v>
      </c>
      <c r="B10" s="14" t="s">
        <v>585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 t="s">
        <v>586</v>
      </c>
      <c r="T10" s="14"/>
    </row>
    <row r="11" spans="1:20" x14ac:dyDescent="0.25">
      <c r="A11" s="14">
        <f t="shared" si="0"/>
        <v>9</v>
      </c>
      <c r="B11" s="14" t="s">
        <v>587</v>
      </c>
      <c r="C11" s="14" t="s">
        <v>345</v>
      </c>
      <c r="D11" s="14" t="s">
        <v>1980</v>
      </c>
      <c r="E11" s="14"/>
      <c r="F11" s="14" t="s">
        <v>275</v>
      </c>
      <c r="G11" s="14" t="s">
        <v>11</v>
      </c>
      <c r="H11" s="14" t="s">
        <v>10</v>
      </c>
      <c r="I11" s="14">
        <v>1</v>
      </c>
      <c r="J11" s="14"/>
      <c r="K11" s="14" t="s">
        <v>276</v>
      </c>
      <c r="L11" s="14"/>
      <c r="M11" s="14"/>
      <c r="N11" s="14"/>
      <c r="O11" s="14"/>
      <c r="P11" s="14"/>
      <c r="Q11" s="14"/>
      <c r="R11" s="14"/>
      <c r="S11" s="14" t="s">
        <v>1946</v>
      </c>
      <c r="T11" s="14"/>
    </row>
    <row r="12" spans="1:20" x14ac:dyDescent="0.25">
      <c r="A12" s="14">
        <f t="shared" si="0"/>
        <v>10</v>
      </c>
      <c r="B12" s="14" t="s">
        <v>289</v>
      </c>
      <c r="C12" s="14" t="s">
        <v>1993</v>
      </c>
      <c r="D12" s="14" t="s">
        <v>1994</v>
      </c>
      <c r="E12" s="14"/>
      <c r="F12" s="14" t="s">
        <v>275</v>
      </c>
      <c r="G12" s="14" t="s">
        <v>11</v>
      </c>
      <c r="H12" s="14" t="s">
        <v>65</v>
      </c>
      <c r="I12" s="14" t="s">
        <v>551</v>
      </c>
      <c r="J12" s="14" t="s">
        <v>1978</v>
      </c>
      <c r="K12" s="14" t="s">
        <v>1992</v>
      </c>
      <c r="L12" s="14"/>
      <c r="M12" s="14"/>
      <c r="N12" s="14"/>
      <c r="O12" s="14"/>
      <c r="P12" s="14"/>
      <c r="Q12" s="14"/>
      <c r="R12" s="14"/>
      <c r="S12" s="14" t="s">
        <v>584</v>
      </c>
      <c r="T12" s="14"/>
    </row>
    <row r="13" spans="1:20" x14ac:dyDescent="0.25">
      <c r="A13" s="14">
        <f t="shared" si="0"/>
        <v>11</v>
      </c>
      <c r="B13" s="14" t="s">
        <v>292</v>
      </c>
      <c r="C13" s="14" t="s">
        <v>293</v>
      </c>
      <c r="D13" s="14" t="s">
        <v>1989</v>
      </c>
      <c r="E13" s="14"/>
      <c r="F13" s="14" t="s">
        <v>275</v>
      </c>
      <c r="G13" s="14" t="s">
        <v>11</v>
      </c>
      <c r="H13" s="14" t="s">
        <v>295</v>
      </c>
      <c r="I13" s="14" t="s">
        <v>1990</v>
      </c>
      <c r="J13" s="14" t="s">
        <v>1991</v>
      </c>
      <c r="K13" s="14" t="s">
        <v>1992</v>
      </c>
      <c r="L13" s="14"/>
      <c r="M13" s="14"/>
      <c r="N13" s="14"/>
      <c r="O13" s="14"/>
      <c r="P13" s="14"/>
      <c r="Q13" s="14"/>
      <c r="R13" s="14"/>
      <c r="S13" s="14" t="s">
        <v>1947</v>
      </c>
      <c r="T13" s="14"/>
    </row>
    <row r="14" spans="1:20" x14ac:dyDescent="0.25">
      <c r="A14" s="14">
        <f t="shared" si="0"/>
        <v>12</v>
      </c>
      <c r="B14" s="14" t="s">
        <v>303</v>
      </c>
      <c r="C14" s="15" t="s">
        <v>304</v>
      </c>
      <c r="D14" s="15" t="s">
        <v>1995</v>
      </c>
      <c r="F14" s="14" t="s">
        <v>275</v>
      </c>
      <c r="G14" s="14" t="s">
        <v>11</v>
      </c>
      <c r="H14" s="14" t="s">
        <v>10</v>
      </c>
      <c r="I14" s="15">
        <v>1</v>
      </c>
      <c r="K14" s="15" t="s">
        <v>306</v>
      </c>
      <c r="O14" s="14" t="s">
        <v>307</v>
      </c>
      <c r="P14" s="14"/>
      <c r="Q14" s="14"/>
      <c r="R14" s="14"/>
      <c r="S14" s="14" t="s">
        <v>304</v>
      </c>
      <c r="T14" s="14"/>
    </row>
    <row r="15" spans="1:20" x14ac:dyDescent="0.25">
      <c r="A15" s="14">
        <f t="shared" si="0"/>
        <v>13</v>
      </c>
      <c r="B15" s="14" t="s">
        <v>311</v>
      </c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 t="s">
        <v>583</v>
      </c>
      <c r="T15" s="14"/>
    </row>
    <row r="16" spans="1:20" x14ac:dyDescent="0.25">
      <c r="A16" s="14">
        <f t="shared" si="0"/>
        <v>14</v>
      </c>
      <c r="B16" s="14" t="s">
        <v>325</v>
      </c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 t="s">
        <v>326</v>
      </c>
      <c r="T16" s="14"/>
    </row>
    <row r="17" spans="1:20" x14ac:dyDescent="0.25">
      <c r="A17" s="14">
        <f t="shared" si="0"/>
        <v>15</v>
      </c>
      <c r="B17" s="14" t="s">
        <v>329</v>
      </c>
      <c r="C17" s="14" t="s">
        <v>330</v>
      </c>
      <c r="D17" s="14" t="s">
        <v>330</v>
      </c>
      <c r="E17" s="14"/>
      <c r="F17" s="14" t="s">
        <v>275</v>
      </c>
      <c r="G17" s="14" t="s">
        <v>9</v>
      </c>
      <c r="H17" s="14" t="s">
        <v>10</v>
      </c>
      <c r="I17" s="14">
        <v>1</v>
      </c>
      <c r="J17" s="14"/>
      <c r="K17" s="14" t="s">
        <v>306</v>
      </c>
      <c r="L17" s="14"/>
      <c r="M17" s="14"/>
      <c r="N17" s="14"/>
      <c r="O17" s="14" t="s">
        <v>331</v>
      </c>
      <c r="P17" s="14"/>
      <c r="Q17" s="14"/>
      <c r="R17" s="14"/>
      <c r="S17" s="14" t="s">
        <v>330</v>
      </c>
      <c r="T17" s="14"/>
    </row>
    <row r="18" spans="1:20" x14ac:dyDescent="0.25">
      <c r="A18" s="14">
        <f t="shared" si="0"/>
        <v>16</v>
      </c>
      <c r="B18" s="14" t="s">
        <v>611</v>
      </c>
      <c r="C18" s="14" t="s">
        <v>1987</v>
      </c>
      <c r="D18" s="14" t="s">
        <v>1988</v>
      </c>
      <c r="E18" s="14"/>
      <c r="F18" s="14" t="s">
        <v>275</v>
      </c>
      <c r="G18" s="14" t="s">
        <v>11</v>
      </c>
      <c r="H18" s="14" t="s">
        <v>226</v>
      </c>
      <c r="I18" s="14" t="s">
        <v>1958</v>
      </c>
      <c r="J18" s="14" t="s">
        <v>1958</v>
      </c>
      <c r="K18" s="14" t="s">
        <v>1959</v>
      </c>
      <c r="L18" s="14"/>
      <c r="M18" s="14"/>
      <c r="N18" s="14"/>
      <c r="O18" s="14"/>
      <c r="P18" s="14"/>
      <c r="Q18" s="14"/>
      <c r="R18" s="14"/>
      <c r="S18" s="14" t="s">
        <v>603</v>
      </c>
      <c r="T18" s="14"/>
    </row>
    <row r="19" spans="1:20" x14ac:dyDescent="0.25">
      <c r="A19" s="14">
        <f t="shared" si="0"/>
        <v>17</v>
      </c>
      <c r="B19" s="14" t="s">
        <v>612</v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 t="s">
        <v>607</v>
      </c>
      <c r="T19" s="14"/>
    </row>
    <row r="20" spans="1:20" x14ac:dyDescent="0.25">
      <c r="A20" s="14">
        <f t="shared" si="0"/>
        <v>18</v>
      </c>
      <c r="B20" s="14" t="s">
        <v>706</v>
      </c>
      <c r="C20" s="14" t="s">
        <v>2027</v>
      </c>
      <c r="D20" s="14" t="s">
        <v>2029</v>
      </c>
      <c r="E20" s="14"/>
      <c r="F20" s="14" t="s">
        <v>275</v>
      </c>
      <c r="G20" s="14" t="s">
        <v>11</v>
      </c>
      <c r="H20" s="14" t="s">
        <v>10</v>
      </c>
      <c r="I20" s="14">
        <v>1</v>
      </c>
      <c r="J20" s="14"/>
      <c r="K20" s="14" t="s">
        <v>1959</v>
      </c>
      <c r="L20" s="14"/>
      <c r="M20" s="14"/>
      <c r="N20" s="14"/>
      <c r="O20" s="14"/>
      <c r="P20" s="14"/>
      <c r="Q20" s="14"/>
      <c r="R20" s="14"/>
      <c r="S20" s="14"/>
      <c r="T20" s="14"/>
    </row>
    <row r="21" spans="1:20" x14ac:dyDescent="0.25">
      <c r="A21" s="14">
        <f t="shared" si="0"/>
        <v>19</v>
      </c>
      <c r="B21" s="14" t="s">
        <v>707</v>
      </c>
      <c r="C21" s="14" t="s">
        <v>2028</v>
      </c>
      <c r="D21" s="14" t="s">
        <v>2030</v>
      </c>
      <c r="E21" s="14"/>
      <c r="F21" s="14" t="s">
        <v>275</v>
      </c>
      <c r="G21" s="14" t="s">
        <v>11</v>
      </c>
      <c r="H21" s="14" t="s">
        <v>10</v>
      </c>
      <c r="I21" s="14">
        <v>1</v>
      </c>
      <c r="J21" s="14"/>
      <c r="K21" s="14" t="s">
        <v>1959</v>
      </c>
      <c r="L21" s="14"/>
      <c r="M21" s="14"/>
      <c r="N21" s="14"/>
      <c r="O21" s="14"/>
      <c r="P21" s="14"/>
      <c r="Q21" s="14"/>
      <c r="R21" s="14"/>
      <c r="S21" s="14"/>
      <c r="T21" s="14"/>
    </row>
    <row r="22" spans="1:20" x14ac:dyDescent="0.25">
      <c r="A22" s="14">
        <f t="shared" si="0"/>
        <v>20</v>
      </c>
      <c r="B22" s="14" t="s">
        <v>708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</row>
    <row r="23" spans="1:20" x14ac:dyDescent="0.25">
      <c r="A23" s="14">
        <f t="shared" si="0"/>
        <v>21</v>
      </c>
      <c r="B23" s="14" t="s">
        <v>709</v>
      </c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</row>
    <row r="24" spans="1:20" x14ac:dyDescent="0.25">
      <c r="A24" s="14">
        <f t="shared" si="0"/>
        <v>22</v>
      </c>
      <c r="B24" s="14" t="s">
        <v>710</v>
      </c>
      <c r="C24" s="14" t="s">
        <v>2031</v>
      </c>
      <c r="D24" s="14" t="s">
        <v>2032</v>
      </c>
      <c r="E24" s="14"/>
      <c r="F24" s="14" t="s">
        <v>275</v>
      </c>
      <c r="G24" s="14" t="s">
        <v>11</v>
      </c>
      <c r="H24" s="14" t="s">
        <v>10</v>
      </c>
      <c r="I24" s="14">
        <v>1</v>
      </c>
      <c r="J24" s="14"/>
      <c r="K24" s="14" t="s">
        <v>306</v>
      </c>
      <c r="L24" s="14"/>
      <c r="M24" s="14"/>
      <c r="N24" s="14"/>
      <c r="O24" s="14" t="s">
        <v>2036</v>
      </c>
      <c r="P24" s="14"/>
      <c r="Q24" s="14"/>
      <c r="R24" s="14"/>
      <c r="S24" s="14"/>
      <c r="T24" s="14"/>
    </row>
    <row r="25" spans="1:20" x14ac:dyDescent="0.25">
      <c r="A25" s="14">
        <f t="shared" si="0"/>
        <v>23</v>
      </c>
      <c r="B25" s="14" t="s">
        <v>711</v>
      </c>
      <c r="C25" s="14" t="s">
        <v>2033</v>
      </c>
      <c r="D25" s="14" t="s">
        <v>2034</v>
      </c>
      <c r="E25" s="14"/>
      <c r="F25" s="14" t="s">
        <v>275</v>
      </c>
      <c r="G25" s="14" t="s">
        <v>11</v>
      </c>
      <c r="H25" s="14" t="s">
        <v>10</v>
      </c>
      <c r="I25" s="14">
        <v>1</v>
      </c>
      <c r="J25" s="14"/>
      <c r="K25" s="14" t="s">
        <v>306</v>
      </c>
      <c r="L25" s="14"/>
      <c r="M25" s="14"/>
      <c r="N25" s="14"/>
      <c r="O25" s="14" t="s">
        <v>2035</v>
      </c>
      <c r="P25" s="14"/>
      <c r="Q25" s="14"/>
      <c r="R25" s="14"/>
      <c r="S25" s="14"/>
      <c r="T25" s="14"/>
    </row>
    <row r="26" spans="1:20" x14ac:dyDescent="0.25">
      <c r="A26" s="14">
        <f t="shared" si="0"/>
        <v>24</v>
      </c>
      <c r="B26" s="14" t="s">
        <v>712</v>
      </c>
      <c r="C26" s="14" t="s">
        <v>2041</v>
      </c>
      <c r="D26" s="14" t="s">
        <v>2037</v>
      </c>
      <c r="E26" s="14"/>
      <c r="F26" s="14" t="s">
        <v>275</v>
      </c>
      <c r="G26" s="14" t="s">
        <v>11</v>
      </c>
      <c r="H26" s="14" t="s">
        <v>10</v>
      </c>
      <c r="I26" s="14">
        <v>1</v>
      </c>
      <c r="J26" s="14"/>
      <c r="K26" s="14" t="s">
        <v>306</v>
      </c>
      <c r="L26" s="14"/>
      <c r="M26" s="14"/>
      <c r="N26" s="14"/>
      <c r="O26" s="14" t="s">
        <v>2035</v>
      </c>
      <c r="P26" s="14"/>
      <c r="Q26" s="14"/>
      <c r="R26" s="14"/>
      <c r="S26" s="14"/>
      <c r="T26" s="14"/>
    </row>
    <row r="27" spans="1:20" x14ac:dyDescent="0.25">
      <c r="A27" s="14">
        <f t="shared" si="0"/>
        <v>25</v>
      </c>
      <c r="B27" s="14" t="s">
        <v>713</v>
      </c>
      <c r="C27" s="14" t="s">
        <v>2042</v>
      </c>
      <c r="D27" s="14" t="s">
        <v>2038</v>
      </c>
      <c r="E27" s="14"/>
      <c r="F27" s="14" t="s">
        <v>275</v>
      </c>
      <c r="G27" s="14" t="s">
        <v>11</v>
      </c>
      <c r="H27" s="14" t="s">
        <v>10</v>
      </c>
      <c r="I27" s="14">
        <v>1</v>
      </c>
      <c r="J27" s="14"/>
      <c r="K27" s="14" t="s">
        <v>306</v>
      </c>
      <c r="L27" s="14"/>
      <c r="M27" s="14"/>
      <c r="N27" s="14"/>
      <c r="O27" s="14" t="s">
        <v>2035</v>
      </c>
      <c r="P27" s="14"/>
      <c r="Q27" s="14"/>
      <c r="R27" s="14"/>
      <c r="S27" s="14"/>
      <c r="T27" s="14"/>
    </row>
    <row r="28" spans="1:20" x14ac:dyDescent="0.25">
      <c r="A28" s="14">
        <f t="shared" si="0"/>
        <v>26</v>
      </c>
      <c r="B28" s="14" t="s">
        <v>714</v>
      </c>
      <c r="C28" s="14" t="s">
        <v>2043</v>
      </c>
      <c r="D28" s="14" t="s">
        <v>2039</v>
      </c>
      <c r="E28" s="14"/>
      <c r="F28" s="14" t="s">
        <v>275</v>
      </c>
      <c r="G28" s="14" t="s">
        <v>11</v>
      </c>
      <c r="H28" s="14" t="s">
        <v>10</v>
      </c>
      <c r="I28" s="14">
        <v>1</v>
      </c>
      <c r="J28" s="14"/>
      <c r="K28" s="14" t="s">
        <v>306</v>
      </c>
      <c r="L28" s="14"/>
      <c r="M28" s="14"/>
      <c r="N28" s="14"/>
      <c r="O28" s="14" t="s">
        <v>2035</v>
      </c>
      <c r="P28" s="14"/>
      <c r="Q28" s="14"/>
      <c r="R28" s="14"/>
      <c r="S28" s="14"/>
      <c r="T28" s="14"/>
    </row>
    <row r="29" spans="1:20" x14ac:dyDescent="0.25">
      <c r="A29" s="14">
        <f t="shared" si="0"/>
        <v>27</v>
      </c>
      <c r="B29" s="14" t="s">
        <v>715</v>
      </c>
      <c r="C29" s="14" t="s">
        <v>2044</v>
      </c>
      <c r="D29" s="14" t="s">
        <v>2040</v>
      </c>
      <c r="E29" s="14"/>
      <c r="F29" s="14" t="s">
        <v>275</v>
      </c>
      <c r="G29" s="14" t="s">
        <v>11</v>
      </c>
      <c r="H29" s="14" t="s">
        <v>10</v>
      </c>
      <c r="I29" s="14">
        <v>1</v>
      </c>
      <c r="J29" s="14"/>
      <c r="K29" s="14" t="s">
        <v>306</v>
      </c>
      <c r="L29" s="14"/>
      <c r="M29" s="14"/>
      <c r="N29" s="14"/>
      <c r="O29" s="14" t="s">
        <v>2035</v>
      </c>
      <c r="P29" s="14"/>
      <c r="Q29" s="14"/>
      <c r="R29" s="14"/>
      <c r="S29" s="14"/>
      <c r="T29" s="14"/>
    </row>
    <row r="30" spans="1:20" x14ac:dyDescent="0.25">
      <c r="A30" s="14">
        <f t="shared" si="0"/>
        <v>28</v>
      </c>
      <c r="B30" s="14" t="s">
        <v>379</v>
      </c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 t="s">
        <v>717</v>
      </c>
      <c r="T30" s="14"/>
    </row>
    <row r="31" spans="1:20" x14ac:dyDescent="0.25">
      <c r="A31" s="14">
        <f t="shared" si="0"/>
        <v>29</v>
      </c>
      <c r="B31" s="14" t="s">
        <v>382</v>
      </c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 t="s">
        <v>718</v>
      </c>
      <c r="T31" s="14"/>
    </row>
    <row r="32" spans="1:20" x14ac:dyDescent="0.25">
      <c r="A32" s="14">
        <f t="shared" si="0"/>
        <v>30</v>
      </c>
      <c r="B32" s="14" t="s">
        <v>384</v>
      </c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 t="s">
        <v>719</v>
      </c>
      <c r="T32" s="14"/>
    </row>
    <row r="33" spans="1:20" x14ac:dyDescent="0.25">
      <c r="A33" s="14">
        <f t="shared" si="0"/>
        <v>31</v>
      </c>
      <c r="B33" s="14" t="s">
        <v>386</v>
      </c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 t="s">
        <v>720</v>
      </c>
      <c r="T33" s="14"/>
    </row>
    <row r="34" spans="1:20" x14ac:dyDescent="0.25">
      <c r="A34" s="14">
        <f t="shared" si="0"/>
        <v>32</v>
      </c>
      <c r="B34" s="14" t="s">
        <v>388</v>
      </c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 t="s">
        <v>721</v>
      </c>
      <c r="T34" s="14"/>
    </row>
    <row r="35" spans="1:20" x14ac:dyDescent="0.25">
      <c r="A35" s="14">
        <f t="shared" si="0"/>
        <v>33</v>
      </c>
      <c r="B35" s="14" t="s">
        <v>391</v>
      </c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 t="s">
        <v>722</v>
      </c>
      <c r="T35" s="14"/>
    </row>
    <row r="36" spans="1:20" x14ac:dyDescent="0.25">
      <c r="A36" s="14">
        <f t="shared" si="0"/>
        <v>34</v>
      </c>
      <c r="B36" s="14" t="s">
        <v>393</v>
      </c>
      <c r="C36" s="14" t="s">
        <v>2045</v>
      </c>
      <c r="D36" s="14" t="s">
        <v>2046</v>
      </c>
      <c r="E36" s="14"/>
      <c r="F36" s="14" t="s">
        <v>275</v>
      </c>
      <c r="G36" s="14" t="s">
        <v>9</v>
      </c>
      <c r="H36" s="14" t="s">
        <v>13</v>
      </c>
      <c r="I36" s="14" t="s">
        <v>548</v>
      </c>
      <c r="J36" s="14" t="s">
        <v>1976</v>
      </c>
      <c r="K36" s="14" t="s">
        <v>1992</v>
      </c>
      <c r="L36" s="14"/>
      <c r="M36" s="14"/>
      <c r="N36" s="14"/>
      <c r="O36" s="14"/>
      <c r="P36" s="14"/>
      <c r="Q36" s="14"/>
      <c r="R36" s="14"/>
      <c r="S36" s="14" t="s">
        <v>723</v>
      </c>
      <c r="T36" s="14"/>
    </row>
    <row r="37" spans="1:20" x14ac:dyDescent="0.25">
      <c r="A37" s="14">
        <f t="shared" si="0"/>
        <v>35</v>
      </c>
      <c r="B37" s="14" t="s">
        <v>395</v>
      </c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 t="s">
        <v>724</v>
      </c>
      <c r="T37" s="14"/>
    </row>
    <row r="38" spans="1:20" x14ac:dyDescent="0.25">
      <c r="A38" s="14">
        <f t="shared" si="0"/>
        <v>36</v>
      </c>
      <c r="B38" s="14" t="s">
        <v>397</v>
      </c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 t="s">
        <v>725</v>
      </c>
      <c r="T38" s="14"/>
    </row>
    <row r="39" spans="1:20" x14ac:dyDescent="0.25">
      <c r="A39" s="14">
        <f t="shared" si="0"/>
        <v>37</v>
      </c>
      <c r="B39" s="14" t="s">
        <v>399</v>
      </c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 t="s">
        <v>726</v>
      </c>
      <c r="T39" s="14"/>
    </row>
    <row r="40" spans="1:20" x14ac:dyDescent="0.25">
      <c r="A40" s="14">
        <f t="shared" si="0"/>
        <v>38</v>
      </c>
      <c r="B40" s="14" t="s">
        <v>401</v>
      </c>
      <c r="C40" s="14" t="s">
        <v>402</v>
      </c>
      <c r="D40" s="14" t="s">
        <v>2087</v>
      </c>
      <c r="E40" s="14"/>
      <c r="F40" s="14" t="s">
        <v>275</v>
      </c>
      <c r="G40" s="14" t="s">
        <v>9</v>
      </c>
      <c r="H40" s="14" t="s">
        <v>13</v>
      </c>
      <c r="I40" s="14" t="s">
        <v>548</v>
      </c>
      <c r="J40" s="14" t="s">
        <v>1976</v>
      </c>
      <c r="K40" s="14" t="s">
        <v>1992</v>
      </c>
      <c r="L40" s="14">
        <v>50</v>
      </c>
      <c r="M40" s="14">
        <v>7000</v>
      </c>
      <c r="N40" s="14">
        <v>380</v>
      </c>
      <c r="O40" s="14"/>
      <c r="P40" s="14"/>
      <c r="Q40" s="14"/>
      <c r="R40" s="14"/>
      <c r="S40" s="14" t="s">
        <v>727</v>
      </c>
      <c r="T40" s="14"/>
    </row>
    <row r="41" spans="1:20" x14ac:dyDescent="0.25">
      <c r="A41" s="14">
        <f t="shared" si="0"/>
        <v>39</v>
      </c>
      <c r="B41" s="14" t="s">
        <v>403</v>
      </c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 t="s">
        <v>728</v>
      </c>
      <c r="T41" s="14"/>
    </row>
    <row r="42" spans="1:20" x14ac:dyDescent="0.25">
      <c r="A42" s="14">
        <f t="shared" si="0"/>
        <v>40</v>
      </c>
      <c r="B42" s="14" t="s">
        <v>1204</v>
      </c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 t="s">
        <v>729</v>
      </c>
      <c r="T42" s="14"/>
    </row>
    <row r="43" spans="1:20" x14ac:dyDescent="0.25">
      <c r="A43" s="14">
        <f t="shared" si="0"/>
        <v>41</v>
      </c>
      <c r="B43" s="14" t="s">
        <v>1205</v>
      </c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 t="s">
        <v>730</v>
      </c>
      <c r="T43" s="14"/>
    </row>
    <row r="44" spans="1:20" x14ac:dyDescent="0.25">
      <c r="A44" s="14">
        <f t="shared" si="0"/>
        <v>42</v>
      </c>
      <c r="B44" s="14" t="s">
        <v>1206</v>
      </c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 t="s">
        <v>731</v>
      </c>
      <c r="T44" s="14"/>
    </row>
    <row r="45" spans="1:20" x14ac:dyDescent="0.25">
      <c r="A45" s="14">
        <f t="shared" si="0"/>
        <v>43</v>
      </c>
      <c r="B45" s="14" t="s">
        <v>1207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 t="s">
        <v>732</v>
      </c>
      <c r="T45" s="14" t="s">
        <v>733</v>
      </c>
    </row>
    <row r="46" spans="1:20" x14ac:dyDescent="0.25">
      <c r="A46" s="14">
        <f t="shared" si="0"/>
        <v>44</v>
      </c>
      <c r="B46" s="14" t="s">
        <v>1208</v>
      </c>
      <c r="C46" s="14" t="s">
        <v>2047</v>
      </c>
      <c r="D46" s="14" t="s">
        <v>2048</v>
      </c>
      <c r="E46" s="14"/>
      <c r="F46" s="14" t="s">
        <v>275</v>
      </c>
      <c r="G46" s="14" t="s">
        <v>9</v>
      </c>
      <c r="H46" s="14" t="s">
        <v>10</v>
      </c>
      <c r="I46" s="14">
        <v>1</v>
      </c>
      <c r="J46" s="14"/>
      <c r="K46" s="14" t="s">
        <v>306</v>
      </c>
      <c r="L46" s="14">
        <v>0</v>
      </c>
      <c r="M46" s="14">
        <v>2</v>
      </c>
      <c r="N46" s="14">
        <v>2</v>
      </c>
      <c r="O46" s="14" t="s">
        <v>2049</v>
      </c>
      <c r="P46" s="14"/>
      <c r="Q46" s="14"/>
      <c r="R46" s="14"/>
      <c r="S46" s="14" t="s">
        <v>734</v>
      </c>
      <c r="T46" s="14"/>
    </row>
    <row r="47" spans="1:20" x14ac:dyDescent="0.25">
      <c r="A47" s="14">
        <f t="shared" si="0"/>
        <v>45</v>
      </c>
      <c r="B47" s="14" t="s">
        <v>1209</v>
      </c>
      <c r="C47" s="14" t="s">
        <v>2056</v>
      </c>
      <c r="D47" s="14" t="s">
        <v>2057</v>
      </c>
      <c r="E47" s="14"/>
      <c r="F47" s="14" t="s">
        <v>275</v>
      </c>
      <c r="G47" s="14" t="s">
        <v>9</v>
      </c>
      <c r="H47" s="14" t="s">
        <v>44</v>
      </c>
      <c r="I47" s="14" t="s">
        <v>550</v>
      </c>
      <c r="J47" s="14" t="s">
        <v>2059</v>
      </c>
      <c r="K47" s="14" t="s">
        <v>2066</v>
      </c>
      <c r="L47" s="14">
        <v>0</v>
      </c>
      <c r="M47" s="14">
        <v>59999</v>
      </c>
      <c r="N47" s="14">
        <v>0</v>
      </c>
      <c r="O47" s="14"/>
      <c r="P47" s="14">
        <v>0</v>
      </c>
      <c r="Q47" s="14">
        <v>59999</v>
      </c>
      <c r="R47" s="14">
        <v>0</v>
      </c>
      <c r="S47" s="14" t="s">
        <v>735</v>
      </c>
      <c r="T47" s="14"/>
    </row>
    <row r="48" spans="1:20" x14ac:dyDescent="0.25">
      <c r="A48" s="14">
        <f t="shared" si="0"/>
        <v>46</v>
      </c>
      <c r="B48" s="14" t="s">
        <v>1210</v>
      </c>
      <c r="C48" s="14" t="s">
        <v>2055</v>
      </c>
      <c r="D48" s="14" t="s">
        <v>2058</v>
      </c>
      <c r="E48" s="14"/>
      <c r="F48" s="14" t="s">
        <v>275</v>
      </c>
      <c r="G48" s="14" t="s">
        <v>9</v>
      </c>
      <c r="H48" s="14" t="s">
        <v>44</v>
      </c>
      <c r="I48" s="14" t="s">
        <v>550</v>
      </c>
      <c r="J48" s="14" t="s">
        <v>2059</v>
      </c>
      <c r="K48" s="14" t="s">
        <v>2066</v>
      </c>
      <c r="L48" s="14">
        <v>0</v>
      </c>
      <c r="M48" s="14">
        <v>600</v>
      </c>
      <c r="N48" s="14">
        <v>5</v>
      </c>
      <c r="O48" s="14"/>
      <c r="P48" s="14">
        <v>0</v>
      </c>
      <c r="Q48" s="14">
        <v>600</v>
      </c>
      <c r="R48" s="14">
        <v>5</v>
      </c>
      <c r="S48" s="14" t="s">
        <v>736</v>
      </c>
      <c r="T48" s="14"/>
    </row>
    <row r="49" spans="1:20" x14ac:dyDescent="0.25">
      <c r="A49" s="14">
        <f t="shared" si="0"/>
        <v>47</v>
      </c>
      <c r="B49" s="14" t="s">
        <v>1211</v>
      </c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 t="s">
        <v>737</v>
      </c>
      <c r="T49" s="14"/>
    </row>
    <row r="50" spans="1:20" x14ac:dyDescent="0.25">
      <c r="A50" s="14">
        <f t="shared" si="0"/>
        <v>48</v>
      </c>
      <c r="B50" s="14" t="s">
        <v>1212</v>
      </c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 t="s">
        <v>738</v>
      </c>
      <c r="T50" s="14"/>
    </row>
    <row r="51" spans="1:20" x14ac:dyDescent="0.25">
      <c r="A51" s="14">
        <f t="shared" si="0"/>
        <v>49</v>
      </c>
      <c r="B51" s="14" t="s">
        <v>1213</v>
      </c>
      <c r="C51" s="14" t="s">
        <v>2073</v>
      </c>
      <c r="D51" s="14" t="s">
        <v>2074</v>
      </c>
      <c r="E51" s="14"/>
      <c r="F51" s="14" t="s">
        <v>275</v>
      </c>
      <c r="G51" s="14" t="s">
        <v>9</v>
      </c>
      <c r="H51" s="14" t="s">
        <v>44</v>
      </c>
      <c r="I51" s="14" t="s">
        <v>550</v>
      </c>
      <c r="J51" s="14" t="s">
        <v>2075</v>
      </c>
      <c r="K51" s="14" t="s">
        <v>2076</v>
      </c>
      <c r="L51" s="14">
        <v>1</v>
      </c>
      <c r="M51" s="14">
        <v>59999</v>
      </c>
      <c r="N51" s="14">
        <v>1440</v>
      </c>
      <c r="O51" s="14"/>
      <c r="P51" s="14">
        <f>L51*60</f>
        <v>60</v>
      </c>
      <c r="Q51" s="14">
        <f t="shared" ref="Q51:R51" si="1">M51*60</f>
        <v>3599940</v>
      </c>
      <c r="R51" s="14">
        <f t="shared" si="1"/>
        <v>86400</v>
      </c>
      <c r="S51" s="14" t="s">
        <v>739</v>
      </c>
      <c r="T51" s="14"/>
    </row>
    <row r="52" spans="1:20" x14ac:dyDescent="0.25">
      <c r="A52" s="14">
        <f t="shared" si="0"/>
        <v>50</v>
      </c>
      <c r="B52" s="14" t="s">
        <v>1214</v>
      </c>
      <c r="C52" s="14" t="s">
        <v>2050</v>
      </c>
      <c r="D52" s="14" t="s">
        <v>2051</v>
      </c>
      <c r="E52" s="14"/>
      <c r="F52" s="14" t="s">
        <v>275</v>
      </c>
      <c r="G52" s="14" t="s">
        <v>9</v>
      </c>
      <c r="H52" s="14" t="s">
        <v>226</v>
      </c>
      <c r="I52" s="14">
        <v>1</v>
      </c>
      <c r="J52" s="14" t="s">
        <v>1958</v>
      </c>
      <c r="K52" s="14" t="s">
        <v>1992</v>
      </c>
      <c r="L52" s="14">
        <v>0</v>
      </c>
      <c r="M52" s="14">
        <v>150</v>
      </c>
      <c r="N52" s="14">
        <v>120</v>
      </c>
      <c r="O52" s="14"/>
      <c r="P52" s="14"/>
      <c r="Q52" s="14"/>
      <c r="R52" s="14"/>
      <c r="S52" s="14" t="s">
        <v>740</v>
      </c>
      <c r="T52" s="14"/>
    </row>
    <row r="53" spans="1:20" x14ac:dyDescent="0.25">
      <c r="A53" s="14">
        <f t="shared" si="0"/>
        <v>51</v>
      </c>
      <c r="B53" s="14" t="s">
        <v>1215</v>
      </c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</row>
    <row r="54" spans="1:20" x14ac:dyDescent="0.25">
      <c r="A54" s="14">
        <f t="shared" si="0"/>
        <v>52</v>
      </c>
      <c r="B54" s="14" t="s">
        <v>1216</v>
      </c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 t="s">
        <v>741</v>
      </c>
      <c r="T54" s="14"/>
    </row>
    <row r="55" spans="1:20" x14ac:dyDescent="0.25">
      <c r="A55" s="14">
        <f t="shared" si="0"/>
        <v>53</v>
      </c>
      <c r="B55" s="14" t="s">
        <v>1217</v>
      </c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 t="s">
        <v>741</v>
      </c>
      <c r="T55" s="14"/>
    </row>
    <row r="56" spans="1:20" x14ac:dyDescent="0.25">
      <c r="A56" s="14">
        <f t="shared" si="0"/>
        <v>54</v>
      </c>
      <c r="B56" s="14" t="s">
        <v>1218</v>
      </c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 t="s">
        <v>742</v>
      </c>
      <c r="T56" s="14"/>
    </row>
    <row r="57" spans="1:20" x14ac:dyDescent="0.25">
      <c r="A57" s="14">
        <f t="shared" si="0"/>
        <v>55</v>
      </c>
      <c r="B57" s="14" t="s">
        <v>1219</v>
      </c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 t="s">
        <v>743</v>
      </c>
      <c r="T57" s="14"/>
    </row>
    <row r="58" spans="1:20" x14ac:dyDescent="0.25">
      <c r="A58" s="14">
        <f t="shared" si="0"/>
        <v>56</v>
      </c>
      <c r="B58" s="14" t="s">
        <v>1220</v>
      </c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 t="s">
        <v>744</v>
      </c>
      <c r="T58" s="14"/>
    </row>
    <row r="59" spans="1:20" x14ac:dyDescent="0.25">
      <c r="A59" s="14">
        <f t="shared" si="0"/>
        <v>57</v>
      </c>
      <c r="B59" s="14" t="s">
        <v>1221</v>
      </c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</row>
    <row r="60" spans="1:20" x14ac:dyDescent="0.25">
      <c r="A60" s="14">
        <f t="shared" si="0"/>
        <v>58</v>
      </c>
      <c r="B60" s="14" t="s">
        <v>1222</v>
      </c>
      <c r="S60" s="14" t="s">
        <v>745</v>
      </c>
      <c r="T60" s="14"/>
    </row>
    <row r="61" spans="1:20" x14ac:dyDescent="0.25">
      <c r="A61" s="14">
        <f t="shared" si="0"/>
        <v>59</v>
      </c>
      <c r="B61" s="14" t="s">
        <v>1223</v>
      </c>
      <c r="C61" s="14" t="s">
        <v>2060</v>
      </c>
      <c r="D61" s="14" t="s">
        <v>2061</v>
      </c>
      <c r="E61" s="14"/>
      <c r="F61" s="14" t="s">
        <v>275</v>
      </c>
      <c r="G61" s="14" t="s">
        <v>9</v>
      </c>
      <c r="H61" s="14" t="s">
        <v>10</v>
      </c>
      <c r="I61" s="14">
        <v>1</v>
      </c>
      <c r="J61" s="14"/>
      <c r="K61" s="14" t="s">
        <v>306</v>
      </c>
      <c r="L61" s="14">
        <v>0</v>
      </c>
      <c r="M61" s="14">
        <v>2</v>
      </c>
      <c r="N61" s="14">
        <v>2</v>
      </c>
      <c r="O61" s="14" t="s">
        <v>2049</v>
      </c>
      <c r="P61" s="14"/>
      <c r="Q61" s="14"/>
      <c r="R61" s="14"/>
      <c r="S61" s="14"/>
      <c r="T61" s="14"/>
    </row>
    <row r="62" spans="1:20" x14ac:dyDescent="0.25">
      <c r="A62" s="14">
        <f t="shared" si="0"/>
        <v>60</v>
      </c>
      <c r="B62" s="14" t="s">
        <v>1224</v>
      </c>
      <c r="C62" s="14" t="s">
        <v>2056</v>
      </c>
      <c r="D62" s="14" t="s">
        <v>2062</v>
      </c>
      <c r="E62" s="14"/>
      <c r="F62" s="14" t="s">
        <v>275</v>
      </c>
      <c r="G62" s="14" t="s">
        <v>9</v>
      </c>
      <c r="H62" s="14" t="s">
        <v>44</v>
      </c>
      <c r="I62" s="14" t="s">
        <v>550</v>
      </c>
      <c r="J62" s="14" t="s">
        <v>2059</v>
      </c>
      <c r="K62" s="14" t="s">
        <v>2066</v>
      </c>
      <c r="L62" s="14">
        <v>0</v>
      </c>
      <c r="M62" s="14">
        <v>59999</v>
      </c>
      <c r="N62" s="14">
        <v>0</v>
      </c>
      <c r="O62" s="14"/>
      <c r="P62" s="14">
        <v>0</v>
      </c>
      <c r="Q62" s="14">
        <v>59999</v>
      </c>
      <c r="R62" s="14">
        <v>0</v>
      </c>
      <c r="S62" s="14"/>
      <c r="T62" s="14"/>
    </row>
    <row r="63" spans="1:20" x14ac:dyDescent="0.25">
      <c r="A63" s="14">
        <f t="shared" si="0"/>
        <v>61</v>
      </c>
      <c r="B63" s="14" t="s">
        <v>1225</v>
      </c>
      <c r="C63" s="14" t="s">
        <v>2055</v>
      </c>
      <c r="D63" s="14" t="s">
        <v>2063</v>
      </c>
      <c r="E63" s="14"/>
      <c r="F63" s="14" t="s">
        <v>275</v>
      </c>
      <c r="G63" s="14" t="s">
        <v>9</v>
      </c>
      <c r="H63" s="14" t="s">
        <v>44</v>
      </c>
      <c r="I63" s="14" t="s">
        <v>550</v>
      </c>
      <c r="J63" s="14" t="s">
        <v>2059</v>
      </c>
      <c r="K63" s="14" t="s">
        <v>2066</v>
      </c>
      <c r="L63" s="14">
        <v>0</v>
      </c>
      <c r="M63" s="14">
        <v>600</v>
      </c>
      <c r="N63" s="14">
        <v>5</v>
      </c>
      <c r="O63" s="14"/>
      <c r="P63" s="14">
        <v>0</v>
      </c>
      <c r="Q63" s="14">
        <v>600</v>
      </c>
      <c r="R63" s="14">
        <v>5</v>
      </c>
      <c r="S63" s="14"/>
      <c r="T63" s="14"/>
    </row>
    <row r="64" spans="1:20" x14ac:dyDescent="0.25">
      <c r="A64" s="14">
        <f t="shared" si="0"/>
        <v>62</v>
      </c>
      <c r="B64" s="14" t="s">
        <v>1226</v>
      </c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</row>
    <row r="65" spans="1:20" x14ac:dyDescent="0.25">
      <c r="A65" s="14">
        <f t="shared" si="0"/>
        <v>63</v>
      </c>
      <c r="B65" s="14" t="s">
        <v>1227</v>
      </c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</row>
    <row r="66" spans="1:20" x14ac:dyDescent="0.25">
      <c r="A66" s="14">
        <f t="shared" si="0"/>
        <v>64</v>
      </c>
      <c r="B66" s="14" t="s">
        <v>1228</v>
      </c>
      <c r="C66" s="14" t="s">
        <v>2073</v>
      </c>
      <c r="D66" s="14" t="s">
        <v>2074</v>
      </c>
      <c r="E66" s="14"/>
      <c r="F66" s="14" t="s">
        <v>275</v>
      </c>
      <c r="G66" s="14" t="s">
        <v>9</v>
      </c>
      <c r="H66" s="14" t="s">
        <v>44</v>
      </c>
      <c r="I66" s="14" t="s">
        <v>550</v>
      </c>
      <c r="J66" s="14" t="s">
        <v>2075</v>
      </c>
      <c r="K66" s="14" t="s">
        <v>2076</v>
      </c>
      <c r="L66" s="14">
        <v>1</v>
      </c>
      <c r="M66" s="14">
        <v>59999</v>
      </c>
      <c r="N66" s="14">
        <v>1440</v>
      </c>
      <c r="O66" s="14"/>
      <c r="P66" s="14">
        <f>L66*60</f>
        <v>60</v>
      </c>
      <c r="Q66" s="14">
        <f t="shared" ref="Q66" si="2">M66*60</f>
        <v>3599940</v>
      </c>
      <c r="R66" s="14">
        <f t="shared" ref="R66" si="3">N66*60</f>
        <v>86400</v>
      </c>
      <c r="S66" s="14" t="s">
        <v>739</v>
      </c>
      <c r="T66" s="14"/>
    </row>
    <row r="67" spans="1:20" x14ac:dyDescent="0.25">
      <c r="A67" s="14">
        <f t="shared" si="0"/>
        <v>65</v>
      </c>
      <c r="B67" s="14" t="s">
        <v>1229</v>
      </c>
      <c r="C67" s="14" t="s">
        <v>2065</v>
      </c>
      <c r="D67" s="14" t="s">
        <v>2064</v>
      </c>
      <c r="E67" s="14"/>
      <c r="F67" s="14" t="s">
        <v>275</v>
      </c>
      <c r="G67" s="14" t="s">
        <v>9</v>
      </c>
      <c r="H67" s="14" t="s">
        <v>226</v>
      </c>
      <c r="I67" s="14">
        <v>1</v>
      </c>
      <c r="J67" s="14" t="s">
        <v>1958</v>
      </c>
      <c r="K67" s="14" t="s">
        <v>1992</v>
      </c>
      <c r="L67" s="14">
        <v>0</v>
      </c>
      <c r="M67" s="14">
        <v>100</v>
      </c>
      <c r="N67" s="14">
        <v>80</v>
      </c>
      <c r="O67" s="14"/>
      <c r="P67" s="14"/>
      <c r="Q67" s="14"/>
      <c r="R67" s="14"/>
      <c r="S67" s="14"/>
      <c r="T67" s="14"/>
    </row>
    <row r="68" spans="1:20" x14ac:dyDescent="0.25">
      <c r="A68" s="14">
        <f t="shared" ref="A68:A131" si="4">A67+1</f>
        <v>66</v>
      </c>
      <c r="B68" s="14" t="s">
        <v>1230</v>
      </c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</row>
    <row r="69" spans="1:20" x14ac:dyDescent="0.25">
      <c r="A69" s="14">
        <f t="shared" si="4"/>
        <v>67</v>
      </c>
      <c r="B69" s="14" t="s">
        <v>1231</v>
      </c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</row>
    <row r="70" spans="1:20" x14ac:dyDescent="0.25">
      <c r="A70" s="14">
        <f t="shared" si="4"/>
        <v>68</v>
      </c>
      <c r="B70" s="14" t="s">
        <v>1232</v>
      </c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</row>
    <row r="71" spans="1:20" x14ac:dyDescent="0.25">
      <c r="A71" s="14">
        <f t="shared" si="4"/>
        <v>69</v>
      </c>
      <c r="B71" s="14" t="s">
        <v>1233</v>
      </c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</row>
    <row r="72" spans="1:20" x14ac:dyDescent="0.25">
      <c r="A72" s="14">
        <f t="shared" si="4"/>
        <v>70</v>
      </c>
      <c r="B72" s="14" t="s">
        <v>1234</v>
      </c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</row>
    <row r="73" spans="1:20" x14ac:dyDescent="0.25">
      <c r="A73" s="14">
        <f t="shared" si="4"/>
        <v>71</v>
      </c>
      <c r="B73" s="14" t="s">
        <v>1235</v>
      </c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</row>
    <row r="74" spans="1:20" x14ac:dyDescent="0.25">
      <c r="A74" s="14">
        <f t="shared" si="4"/>
        <v>72</v>
      </c>
      <c r="B74" s="14" t="s">
        <v>1236</v>
      </c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</row>
    <row r="75" spans="1:20" x14ac:dyDescent="0.25">
      <c r="A75" s="14">
        <f t="shared" si="4"/>
        <v>73</v>
      </c>
      <c r="B75" s="14" t="s">
        <v>1237</v>
      </c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 t="s">
        <v>746</v>
      </c>
      <c r="T75" s="14"/>
    </row>
    <row r="76" spans="1:20" x14ac:dyDescent="0.25">
      <c r="A76" s="14">
        <f t="shared" si="4"/>
        <v>74</v>
      </c>
      <c r="B76" s="14" t="s">
        <v>1238</v>
      </c>
      <c r="C76" s="14" t="s">
        <v>2067</v>
      </c>
      <c r="D76" s="14" t="s">
        <v>2068</v>
      </c>
      <c r="E76" s="14"/>
      <c r="F76" s="14" t="s">
        <v>275</v>
      </c>
      <c r="G76" s="14" t="s">
        <v>9</v>
      </c>
      <c r="H76" s="14" t="s">
        <v>10</v>
      </c>
      <c r="I76" s="14">
        <v>1</v>
      </c>
      <c r="J76" s="14"/>
      <c r="K76" s="14" t="s">
        <v>306</v>
      </c>
      <c r="L76" s="14">
        <v>0</v>
      </c>
      <c r="M76" s="14">
        <v>2</v>
      </c>
      <c r="N76" s="14">
        <v>2</v>
      </c>
      <c r="O76" s="14" t="s">
        <v>2049</v>
      </c>
      <c r="P76" s="14"/>
      <c r="Q76" s="14"/>
      <c r="R76" s="14"/>
      <c r="S76" s="14"/>
      <c r="T76" s="14"/>
    </row>
    <row r="77" spans="1:20" x14ac:dyDescent="0.25">
      <c r="A77" s="14">
        <f t="shared" si="4"/>
        <v>75</v>
      </c>
      <c r="B77" s="14" t="s">
        <v>1239</v>
      </c>
      <c r="C77" s="14" t="s">
        <v>2056</v>
      </c>
      <c r="D77" s="14" t="s">
        <v>2072</v>
      </c>
      <c r="E77" s="14"/>
      <c r="F77" s="14" t="s">
        <v>275</v>
      </c>
      <c r="G77" s="14" t="s">
        <v>9</v>
      </c>
      <c r="H77" s="14" t="s">
        <v>44</v>
      </c>
      <c r="I77" s="14" t="s">
        <v>550</v>
      </c>
      <c r="J77" s="14" t="s">
        <v>2059</v>
      </c>
      <c r="K77" s="14" t="s">
        <v>2066</v>
      </c>
      <c r="L77" s="14">
        <v>0</v>
      </c>
      <c r="M77" s="14">
        <v>59999</v>
      </c>
      <c r="N77" s="14">
        <v>10</v>
      </c>
      <c r="O77" s="14"/>
      <c r="P77" s="14">
        <v>0</v>
      </c>
      <c r="Q77" s="14">
        <v>59999</v>
      </c>
      <c r="R77" s="14">
        <v>10</v>
      </c>
      <c r="S77" s="14"/>
      <c r="T77" s="14"/>
    </row>
    <row r="78" spans="1:20" x14ac:dyDescent="0.25">
      <c r="A78" s="14">
        <f t="shared" si="4"/>
        <v>76</v>
      </c>
      <c r="B78" s="14" t="s">
        <v>1240</v>
      </c>
      <c r="C78" s="14" t="s">
        <v>2055</v>
      </c>
      <c r="D78" s="14" t="s">
        <v>2071</v>
      </c>
      <c r="E78" s="14"/>
      <c r="F78" s="14" t="s">
        <v>275</v>
      </c>
      <c r="G78" s="14" t="s">
        <v>9</v>
      </c>
      <c r="H78" s="14" t="s">
        <v>44</v>
      </c>
      <c r="I78" s="14" t="s">
        <v>550</v>
      </c>
      <c r="J78" s="14" t="s">
        <v>2059</v>
      </c>
      <c r="K78" s="14" t="s">
        <v>2066</v>
      </c>
      <c r="L78" s="14">
        <v>0</v>
      </c>
      <c r="M78" s="14">
        <v>600</v>
      </c>
      <c r="N78" s="14">
        <v>5</v>
      </c>
      <c r="O78" s="14"/>
      <c r="P78" s="14">
        <v>0</v>
      </c>
      <c r="Q78" s="14">
        <v>600</v>
      </c>
      <c r="R78" s="14">
        <v>5</v>
      </c>
      <c r="S78" s="14"/>
      <c r="T78" s="14"/>
    </row>
    <row r="79" spans="1:20" x14ac:dyDescent="0.25">
      <c r="A79" s="14">
        <f t="shared" si="4"/>
        <v>77</v>
      </c>
      <c r="B79" s="14" t="s">
        <v>1241</v>
      </c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</row>
    <row r="80" spans="1:20" x14ac:dyDescent="0.25">
      <c r="A80" s="14">
        <f t="shared" si="4"/>
        <v>78</v>
      </c>
      <c r="B80" s="14" t="s">
        <v>1242</v>
      </c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</row>
    <row r="81" spans="1:20" x14ac:dyDescent="0.25">
      <c r="A81" s="14">
        <f t="shared" si="4"/>
        <v>79</v>
      </c>
      <c r="B81" s="14" t="s">
        <v>1243</v>
      </c>
      <c r="C81" s="14" t="s">
        <v>2073</v>
      </c>
      <c r="D81" s="14" t="s">
        <v>2074</v>
      </c>
      <c r="E81" s="14"/>
      <c r="F81" s="14" t="s">
        <v>275</v>
      </c>
      <c r="G81" s="14" t="s">
        <v>9</v>
      </c>
      <c r="H81" s="14" t="s">
        <v>44</v>
      </c>
      <c r="I81" s="14" t="s">
        <v>550</v>
      </c>
      <c r="J81" s="14" t="s">
        <v>2075</v>
      </c>
      <c r="K81" s="14" t="s">
        <v>2076</v>
      </c>
      <c r="L81" s="14">
        <v>1</v>
      </c>
      <c r="M81" s="14">
        <v>59999</v>
      </c>
      <c r="N81" s="14">
        <v>1440</v>
      </c>
      <c r="O81" s="14"/>
      <c r="P81" s="14">
        <f>L81*60</f>
        <v>60</v>
      </c>
      <c r="Q81" s="14">
        <f t="shared" ref="Q81" si="5">M81*60</f>
        <v>3599940</v>
      </c>
      <c r="R81" s="14">
        <f t="shared" ref="R81" si="6">N81*60</f>
        <v>86400</v>
      </c>
      <c r="S81" s="14" t="s">
        <v>739</v>
      </c>
      <c r="T81" s="14"/>
    </row>
    <row r="82" spans="1:20" x14ac:dyDescent="0.25">
      <c r="A82" s="14">
        <f t="shared" si="4"/>
        <v>80</v>
      </c>
      <c r="B82" s="14" t="s">
        <v>1244</v>
      </c>
      <c r="C82" s="14" t="s">
        <v>2069</v>
      </c>
      <c r="D82" s="14" t="s">
        <v>2070</v>
      </c>
      <c r="E82" s="14"/>
      <c r="F82" s="14" t="s">
        <v>275</v>
      </c>
      <c r="G82" s="14" t="s">
        <v>9</v>
      </c>
      <c r="H82" s="14" t="s">
        <v>226</v>
      </c>
      <c r="I82" s="14">
        <v>1</v>
      </c>
      <c r="J82" s="14" t="s">
        <v>1958</v>
      </c>
      <c r="K82" s="14" t="s">
        <v>1992</v>
      </c>
      <c r="L82" s="14">
        <v>0</v>
      </c>
      <c r="M82" s="14">
        <v>200</v>
      </c>
      <c r="N82" s="14">
        <v>10</v>
      </c>
      <c r="O82" s="14"/>
      <c r="P82" s="14"/>
      <c r="Q82" s="14"/>
      <c r="R82" s="14"/>
      <c r="S82" s="14"/>
      <c r="T82" s="14"/>
    </row>
    <row r="83" spans="1:20" x14ac:dyDescent="0.25">
      <c r="A83" s="14">
        <f t="shared" si="4"/>
        <v>81</v>
      </c>
      <c r="B83" s="14" t="s">
        <v>1245</v>
      </c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</row>
    <row r="84" spans="1:20" x14ac:dyDescent="0.25">
      <c r="A84" s="14">
        <f t="shared" si="4"/>
        <v>82</v>
      </c>
      <c r="B84" s="14" t="s">
        <v>1246</v>
      </c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</row>
    <row r="85" spans="1:20" x14ac:dyDescent="0.25">
      <c r="A85" s="14">
        <f t="shared" si="4"/>
        <v>83</v>
      </c>
      <c r="B85" s="14" t="s">
        <v>1247</v>
      </c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</row>
    <row r="86" spans="1:20" x14ac:dyDescent="0.25">
      <c r="A86" s="14">
        <f t="shared" si="4"/>
        <v>84</v>
      </c>
      <c r="B86" s="14" t="s">
        <v>1248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</row>
    <row r="87" spans="1:20" x14ac:dyDescent="0.25">
      <c r="A87" s="14">
        <f t="shared" si="4"/>
        <v>85</v>
      </c>
      <c r="B87" s="14" t="s">
        <v>1249</v>
      </c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</row>
    <row r="88" spans="1:20" x14ac:dyDescent="0.25">
      <c r="A88" s="14">
        <f t="shared" si="4"/>
        <v>86</v>
      </c>
      <c r="B88" s="14" t="s">
        <v>1250</v>
      </c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</row>
    <row r="89" spans="1:20" x14ac:dyDescent="0.25">
      <c r="A89" s="14">
        <f t="shared" si="4"/>
        <v>87</v>
      </c>
      <c r="B89" s="14" t="s">
        <v>1251</v>
      </c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</row>
    <row r="90" spans="1:20" x14ac:dyDescent="0.25">
      <c r="A90" s="14">
        <f t="shared" si="4"/>
        <v>88</v>
      </c>
      <c r="B90" s="14" t="s">
        <v>1252</v>
      </c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 t="s">
        <v>747</v>
      </c>
      <c r="T90" s="14"/>
    </row>
    <row r="91" spans="1:20" x14ac:dyDescent="0.25">
      <c r="A91" s="14">
        <f t="shared" si="4"/>
        <v>89</v>
      </c>
      <c r="B91" s="14" t="s">
        <v>1253</v>
      </c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</row>
    <row r="92" spans="1:20" x14ac:dyDescent="0.25">
      <c r="A92" s="14">
        <f t="shared" si="4"/>
        <v>90</v>
      </c>
      <c r="B92" s="14" t="s">
        <v>1254</v>
      </c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</row>
    <row r="93" spans="1:20" x14ac:dyDescent="0.25">
      <c r="A93" s="14">
        <f t="shared" si="4"/>
        <v>91</v>
      </c>
      <c r="B93" s="14" t="s">
        <v>1255</v>
      </c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</row>
    <row r="94" spans="1:20" x14ac:dyDescent="0.25">
      <c r="A94" s="14">
        <f t="shared" si="4"/>
        <v>92</v>
      </c>
      <c r="B94" s="14" t="s">
        <v>1256</v>
      </c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</row>
    <row r="95" spans="1:20" x14ac:dyDescent="0.25">
      <c r="A95" s="14">
        <f t="shared" si="4"/>
        <v>93</v>
      </c>
      <c r="B95" s="14" t="s">
        <v>1257</v>
      </c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</row>
    <row r="96" spans="1:20" x14ac:dyDescent="0.25">
      <c r="A96" s="14">
        <f t="shared" si="4"/>
        <v>94</v>
      </c>
      <c r="B96" s="14" t="s">
        <v>1258</v>
      </c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</row>
    <row r="97" spans="1:20" x14ac:dyDescent="0.25">
      <c r="A97" s="14">
        <f t="shared" si="4"/>
        <v>95</v>
      </c>
      <c r="B97" s="14" t="s">
        <v>1259</v>
      </c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</row>
    <row r="98" spans="1:20" x14ac:dyDescent="0.25">
      <c r="A98" s="14">
        <f t="shared" si="4"/>
        <v>96</v>
      </c>
      <c r="B98" s="14" t="s">
        <v>1260</v>
      </c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</row>
    <row r="99" spans="1:20" x14ac:dyDescent="0.25">
      <c r="A99" s="14">
        <f t="shared" si="4"/>
        <v>97</v>
      </c>
      <c r="B99" s="14" t="s">
        <v>1261</v>
      </c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</row>
    <row r="100" spans="1:20" x14ac:dyDescent="0.25">
      <c r="A100" s="14">
        <f t="shared" si="4"/>
        <v>98</v>
      </c>
      <c r="B100" s="14" t="s">
        <v>1262</v>
      </c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</row>
    <row r="101" spans="1:20" x14ac:dyDescent="0.25">
      <c r="A101" s="14">
        <f t="shared" si="4"/>
        <v>99</v>
      </c>
      <c r="B101" s="14" t="s">
        <v>1263</v>
      </c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</row>
    <row r="102" spans="1:20" x14ac:dyDescent="0.25">
      <c r="A102" s="14">
        <f t="shared" si="4"/>
        <v>100</v>
      </c>
      <c r="B102" s="14" t="s">
        <v>1264</v>
      </c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</row>
    <row r="103" spans="1:20" x14ac:dyDescent="0.25">
      <c r="A103" s="14">
        <f t="shared" si="4"/>
        <v>101</v>
      </c>
      <c r="B103" s="14" t="s">
        <v>1265</v>
      </c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</row>
    <row r="104" spans="1:20" x14ac:dyDescent="0.25">
      <c r="A104" s="14">
        <f t="shared" si="4"/>
        <v>102</v>
      </c>
      <c r="B104" s="14" t="s">
        <v>1266</v>
      </c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</row>
    <row r="105" spans="1:20" x14ac:dyDescent="0.25">
      <c r="A105" s="14">
        <f t="shared" si="4"/>
        <v>103</v>
      </c>
      <c r="B105" s="14" t="s">
        <v>1267</v>
      </c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 t="s">
        <v>748</v>
      </c>
      <c r="T105" s="14"/>
    </row>
    <row r="106" spans="1:20" x14ac:dyDescent="0.25">
      <c r="A106" s="14">
        <f t="shared" si="4"/>
        <v>104</v>
      </c>
      <c r="B106" s="14" t="s">
        <v>1268</v>
      </c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</row>
    <row r="107" spans="1:20" x14ac:dyDescent="0.25">
      <c r="A107" s="14">
        <f t="shared" si="4"/>
        <v>105</v>
      </c>
      <c r="B107" s="14" t="s">
        <v>1269</v>
      </c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</row>
    <row r="108" spans="1:20" x14ac:dyDescent="0.25">
      <c r="A108" s="14">
        <f t="shared" si="4"/>
        <v>106</v>
      </c>
      <c r="B108" s="14" t="s">
        <v>1270</v>
      </c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</row>
    <row r="109" spans="1:20" x14ac:dyDescent="0.25">
      <c r="A109" s="14">
        <f t="shared" si="4"/>
        <v>107</v>
      </c>
      <c r="B109" s="14" t="s">
        <v>1271</v>
      </c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</row>
    <row r="110" spans="1:20" x14ac:dyDescent="0.25">
      <c r="A110" s="14">
        <f t="shared" si="4"/>
        <v>108</v>
      </c>
      <c r="B110" s="14" t="s">
        <v>1272</v>
      </c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</row>
    <row r="111" spans="1:20" x14ac:dyDescent="0.25">
      <c r="A111" s="14">
        <f t="shared" si="4"/>
        <v>109</v>
      </c>
      <c r="B111" s="14" t="s">
        <v>1273</v>
      </c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</row>
    <row r="112" spans="1:20" x14ac:dyDescent="0.25">
      <c r="A112" s="14">
        <f t="shared" si="4"/>
        <v>110</v>
      </c>
      <c r="B112" s="14" t="s">
        <v>1274</v>
      </c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</row>
    <row r="113" spans="1:20" x14ac:dyDescent="0.25">
      <c r="A113" s="14">
        <f t="shared" si="4"/>
        <v>111</v>
      </c>
      <c r="B113" s="14" t="s">
        <v>1275</v>
      </c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</row>
    <row r="114" spans="1:20" x14ac:dyDescent="0.25">
      <c r="A114" s="14">
        <f t="shared" si="4"/>
        <v>112</v>
      </c>
      <c r="B114" s="14" t="s">
        <v>1276</v>
      </c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</row>
    <row r="115" spans="1:20" x14ac:dyDescent="0.25">
      <c r="A115" s="14">
        <f t="shared" si="4"/>
        <v>113</v>
      </c>
      <c r="B115" s="14" t="s">
        <v>1277</v>
      </c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</row>
    <row r="116" spans="1:20" x14ac:dyDescent="0.25">
      <c r="A116" s="14">
        <f t="shared" si="4"/>
        <v>114</v>
      </c>
      <c r="B116" s="14" t="s">
        <v>1278</v>
      </c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</row>
    <row r="117" spans="1:20" x14ac:dyDescent="0.25">
      <c r="A117" s="14">
        <f t="shared" si="4"/>
        <v>115</v>
      </c>
      <c r="B117" s="14" t="s">
        <v>1279</v>
      </c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</row>
    <row r="118" spans="1:20" x14ac:dyDescent="0.25">
      <c r="A118" s="14">
        <f t="shared" si="4"/>
        <v>116</v>
      </c>
      <c r="B118" s="14" t="s">
        <v>1280</v>
      </c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</row>
    <row r="119" spans="1:20" x14ac:dyDescent="0.25">
      <c r="A119" s="14">
        <f t="shared" si="4"/>
        <v>117</v>
      </c>
      <c r="B119" s="14" t="s">
        <v>1281</v>
      </c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</row>
    <row r="120" spans="1:20" x14ac:dyDescent="0.25">
      <c r="A120" s="14">
        <f>A119+1</f>
        <v>118</v>
      </c>
      <c r="B120" s="14" t="s">
        <v>1282</v>
      </c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 t="s">
        <v>749</v>
      </c>
      <c r="T120" s="14"/>
    </row>
    <row r="121" spans="1:20" x14ac:dyDescent="0.25">
      <c r="A121" s="14">
        <f t="shared" si="4"/>
        <v>119</v>
      </c>
      <c r="B121" s="14" t="s">
        <v>1283</v>
      </c>
      <c r="C121" s="14" t="s">
        <v>2088</v>
      </c>
      <c r="D121" s="14" t="s">
        <v>2091</v>
      </c>
      <c r="E121" s="14"/>
      <c r="F121" s="14" t="s">
        <v>275</v>
      </c>
      <c r="G121" s="14" t="s">
        <v>9</v>
      </c>
      <c r="H121" s="14" t="s">
        <v>10</v>
      </c>
      <c r="I121" s="14">
        <v>1</v>
      </c>
      <c r="J121" s="14"/>
      <c r="K121" s="14" t="s">
        <v>306</v>
      </c>
      <c r="L121" s="14">
        <v>0</v>
      </c>
      <c r="M121" s="14">
        <v>2</v>
      </c>
      <c r="N121" s="14">
        <v>2</v>
      </c>
      <c r="O121" s="14" t="s">
        <v>2049</v>
      </c>
      <c r="P121" s="14"/>
      <c r="Q121" s="14"/>
      <c r="R121" s="14"/>
      <c r="S121" s="14"/>
      <c r="T121" s="14"/>
    </row>
    <row r="122" spans="1:20" x14ac:dyDescent="0.25">
      <c r="A122" s="14">
        <f t="shared" si="4"/>
        <v>120</v>
      </c>
      <c r="B122" s="14" t="s">
        <v>1284</v>
      </c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</row>
    <row r="123" spans="1:20" x14ac:dyDescent="0.25">
      <c r="A123" s="14">
        <f t="shared" si="4"/>
        <v>121</v>
      </c>
      <c r="B123" s="14" t="s">
        <v>1285</v>
      </c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</row>
    <row r="124" spans="1:20" x14ac:dyDescent="0.25">
      <c r="A124" s="14">
        <f t="shared" si="4"/>
        <v>122</v>
      </c>
      <c r="B124" s="14" t="s">
        <v>1286</v>
      </c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</row>
    <row r="125" spans="1:20" x14ac:dyDescent="0.25">
      <c r="A125" s="14">
        <f t="shared" si="4"/>
        <v>123</v>
      </c>
      <c r="B125" s="14" t="s">
        <v>1287</v>
      </c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</row>
    <row r="126" spans="1:20" x14ac:dyDescent="0.25">
      <c r="A126" s="14">
        <f t="shared" si="4"/>
        <v>124</v>
      </c>
      <c r="B126" s="14" t="s">
        <v>1288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</row>
    <row r="127" spans="1:20" x14ac:dyDescent="0.25">
      <c r="A127" s="14">
        <f t="shared" si="4"/>
        <v>125</v>
      </c>
      <c r="B127" s="14" t="s">
        <v>1289</v>
      </c>
      <c r="C127" s="14" t="s">
        <v>2089</v>
      </c>
      <c r="D127" s="14" t="s">
        <v>2090</v>
      </c>
      <c r="E127" s="14"/>
      <c r="F127" s="14" t="s">
        <v>275</v>
      </c>
      <c r="G127" s="14" t="s">
        <v>9</v>
      </c>
      <c r="H127" s="14" t="s">
        <v>226</v>
      </c>
      <c r="I127" s="14">
        <v>1</v>
      </c>
      <c r="J127" s="14" t="s">
        <v>1958</v>
      </c>
      <c r="K127" s="14" t="s">
        <v>306</v>
      </c>
      <c r="L127" s="14"/>
      <c r="M127" s="14"/>
      <c r="N127" s="14"/>
      <c r="O127" s="14"/>
      <c r="P127" s="14"/>
      <c r="Q127" s="14"/>
      <c r="R127" s="14"/>
      <c r="S127" s="14"/>
      <c r="T127" s="14"/>
    </row>
    <row r="128" spans="1:20" x14ac:dyDescent="0.25">
      <c r="A128" s="14">
        <f t="shared" si="4"/>
        <v>126</v>
      </c>
      <c r="B128" s="14" t="s">
        <v>1290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</row>
    <row r="129" spans="1:20" x14ac:dyDescent="0.25">
      <c r="A129" s="14">
        <f t="shared" si="4"/>
        <v>127</v>
      </c>
      <c r="B129" s="14" t="s">
        <v>1291</v>
      </c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</row>
    <row r="130" spans="1:20" x14ac:dyDescent="0.25">
      <c r="A130" s="14">
        <f t="shared" si="4"/>
        <v>128</v>
      </c>
      <c r="B130" s="14" t="s">
        <v>1292</v>
      </c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</row>
    <row r="131" spans="1:20" x14ac:dyDescent="0.25">
      <c r="A131" s="14">
        <f t="shared" si="4"/>
        <v>129</v>
      </c>
      <c r="B131" s="14" t="s">
        <v>1293</v>
      </c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</row>
    <row r="132" spans="1:20" x14ac:dyDescent="0.25">
      <c r="A132" s="14">
        <f t="shared" ref="A132:A195" si="7">A131+1</f>
        <v>130</v>
      </c>
      <c r="B132" s="14" t="s">
        <v>1294</v>
      </c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</row>
    <row r="133" spans="1:20" x14ac:dyDescent="0.25">
      <c r="A133" s="14">
        <f t="shared" si="7"/>
        <v>131</v>
      </c>
      <c r="B133" s="14" t="s">
        <v>1295</v>
      </c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</row>
    <row r="134" spans="1:20" x14ac:dyDescent="0.25">
      <c r="A134" s="14">
        <f t="shared" si="7"/>
        <v>132</v>
      </c>
      <c r="B134" s="14" t="s">
        <v>1296</v>
      </c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</row>
    <row r="135" spans="1:20" x14ac:dyDescent="0.25">
      <c r="A135" s="14">
        <f t="shared" si="7"/>
        <v>133</v>
      </c>
      <c r="B135" s="14" t="s">
        <v>1297</v>
      </c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 t="s">
        <v>750</v>
      </c>
      <c r="T135" s="14"/>
    </row>
    <row r="136" spans="1:20" x14ac:dyDescent="0.25">
      <c r="A136" s="14">
        <f t="shared" si="7"/>
        <v>134</v>
      </c>
      <c r="B136" s="14" t="s">
        <v>1298</v>
      </c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</row>
    <row r="137" spans="1:20" x14ac:dyDescent="0.25">
      <c r="A137" s="14">
        <f t="shared" si="7"/>
        <v>135</v>
      </c>
      <c r="B137" s="14" t="s">
        <v>1299</v>
      </c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</row>
    <row r="138" spans="1:20" x14ac:dyDescent="0.25">
      <c r="A138" s="14">
        <f t="shared" si="7"/>
        <v>136</v>
      </c>
      <c r="B138" s="14" t="s">
        <v>1300</v>
      </c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</row>
    <row r="139" spans="1:20" x14ac:dyDescent="0.25">
      <c r="A139" s="14">
        <f t="shared" si="7"/>
        <v>137</v>
      </c>
      <c r="B139" s="14" t="s">
        <v>1301</v>
      </c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</row>
    <row r="140" spans="1:20" x14ac:dyDescent="0.25">
      <c r="A140" s="14">
        <f t="shared" si="7"/>
        <v>138</v>
      </c>
      <c r="B140" s="14" t="s">
        <v>1302</v>
      </c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</row>
    <row r="141" spans="1:20" x14ac:dyDescent="0.25">
      <c r="A141" s="14">
        <f t="shared" si="7"/>
        <v>139</v>
      </c>
      <c r="B141" s="14" t="s">
        <v>1303</v>
      </c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</row>
    <row r="142" spans="1:20" x14ac:dyDescent="0.25">
      <c r="A142" s="14">
        <f t="shared" si="7"/>
        <v>140</v>
      </c>
      <c r="B142" s="14" t="s">
        <v>1304</v>
      </c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</row>
    <row r="143" spans="1:20" x14ac:dyDescent="0.25">
      <c r="A143" s="14">
        <f t="shared" si="7"/>
        <v>141</v>
      </c>
      <c r="B143" s="14" t="s">
        <v>1305</v>
      </c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</row>
    <row r="144" spans="1:20" x14ac:dyDescent="0.25">
      <c r="A144" s="14">
        <f t="shared" si="7"/>
        <v>142</v>
      </c>
      <c r="B144" s="14" t="s">
        <v>1306</v>
      </c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</row>
    <row r="145" spans="1:20" x14ac:dyDescent="0.25">
      <c r="A145" s="14">
        <f t="shared" si="7"/>
        <v>143</v>
      </c>
      <c r="B145" s="14" t="s">
        <v>1307</v>
      </c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</row>
    <row r="146" spans="1:20" x14ac:dyDescent="0.25">
      <c r="A146" s="14">
        <f t="shared" si="7"/>
        <v>144</v>
      </c>
      <c r="B146" s="14" t="s">
        <v>1308</v>
      </c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</row>
    <row r="147" spans="1:20" x14ac:dyDescent="0.25">
      <c r="A147" s="14">
        <f t="shared" si="7"/>
        <v>145</v>
      </c>
      <c r="B147" s="14" t="s">
        <v>1309</v>
      </c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</row>
    <row r="148" spans="1:20" x14ac:dyDescent="0.25">
      <c r="A148" s="14">
        <f t="shared" si="7"/>
        <v>146</v>
      </c>
      <c r="B148" s="14" t="s">
        <v>1310</v>
      </c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</row>
    <row r="149" spans="1:20" x14ac:dyDescent="0.25">
      <c r="A149" s="14">
        <f t="shared" si="7"/>
        <v>147</v>
      </c>
      <c r="B149" s="14" t="s">
        <v>1311</v>
      </c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</row>
    <row r="150" spans="1:20" x14ac:dyDescent="0.25">
      <c r="A150" s="14">
        <f t="shared" si="7"/>
        <v>148</v>
      </c>
      <c r="B150" s="14" t="s">
        <v>1312</v>
      </c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 t="s">
        <v>751</v>
      </c>
      <c r="T150" s="14"/>
    </row>
    <row r="151" spans="1:20" x14ac:dyDescent="0.25">
      <c r="A151" s="14">
        <f t="shared" si="7"/>
        <v>149</v>
      </c>
      <c r="B151" s="14" t="s">
        <v>1313</v>
      </c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</row>
    <row r="152" spans="1:20" x14ac:dyDescent="0.25">
      <c r="A152" s="14">
        <f t="shared" si="7"/>
        <v>150</v>
      </c>
      <c r="B152" s="14" t="s">
        <v>1314</v>
      </c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</row>
    <row r="153" spans="1:20" x14ac:dyDescent="0.25">
      <c r="A153" s="14">
        <f t="shared" si="7"/>
        <v>151</v>
      </c>
      <c r="B153" s="14" t="s">
        <v>1315</v>
      </c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</row>
    <row r="154" spans="1:20" x14ac:dyDescent="0.25">
      <c r="A154" s="14">
        <f t="shared" si="7"/>
        <v>152</v>
      </c>
      <c r="B154" s="14" t="s">
        <v>1316</v>
      </c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</row>
    <row r="155" spans="1:20" x14ac:dyDescent="0.25">
      <c r="A155" s="14">
        <f t="shared" si="7"/>
        <v>153</v>
      </c>
      <c r="B155" s="14" t="s">
        <v>1317</v>
      </c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</row>
    <row r="156" spans="1:20" x14ac:dyDescent="0.25">
      <c r="A156" s="14">
        <f t="shared" si="7"/>
        <v>154</v>
      </c>
      <c r="B156" s="14" t="s">
        <v>1318</v>
      </c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</row>
    <row r="157" spans="1:20" x14ac:dyDescent="0.25">
      <c r="A157" s="14">
        <f t="shared" si="7"/>
        <v>155</v>
      </c>
      <c r="B157" s="14" t="s">
        <v>1319</v>
      </c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</row>
    <row r="158" spans="1:20" x14ac:dyDescent="0.25">
      <c r="A158" s="14">
        <f t="shared" si="7"/>
        <v>156</v>
      </c>
      <c r="B158" s="14" t="s">
        <v>1320</v>
      </c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</row>
    <row r="159" spans="1:20" x14ac:dyDescent="0.25">
      <c r="A159" s="14">
        <f t="shared" si="7"/>
        <v>157</v>
      </c>
      <c r="B159" s="14" t="s">
        <v>1321</v>
      </c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</row>
    <row r="160" spans="1:20" x14ac:dyDescent="0.25">
      <c r="A160" s="14">
        <f t="shared" si="7"/>
        <v>158</v>
      </c>
      <c r="B160" s="14" t="s">
        <v>1322</v>
      </c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</row>
    <row r="161" spans="1:20" x14ac:dyDescent="0.25">
      <c r="A161" s="14">
        <f t="shared" si="7"/>
        <v>159</v>
      </c>
      <c r="B161" s="14" t="s">
        <v>1323</v>
      </c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</row>
    <row r="162" spans="1:20" x14ac:dyDescent="0.25">
      <c r="A162" s="14">
        <f t="shared" si="7"/>
        <v>160</v>
      </c>
      <c r="B162" s="14" t="s">
        <v>1324</v>
      </c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</row>
    <row r="163" spans="1:20" x14ac:dyDescent="0.25">
      <c r="A163" s="14">
        <f t="shared" si="7"/>
        <v>161</v>
      </c>
      <c r="B163" s="14" t="s">
        <v>1325</v>
      </c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</row>
    <row r="164" spans="1:20" x14ac:dyDescent="0.25">
      <c r="A164" s="14">
        <f t="shared" si="7"/>
        <v>162</v>
      </c>
      <c r="B164" s="14" t="s">
        <v>1326</v>
      </c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</row>
    <row r="165" spans="1:20" x14ac:dyDescent="0.25">
      <c r="A165" s="14">
        <f t="shared" si="7"/>
        <v>163</v>
      </c>
      <c r="B165" s="14" t="s">
        <v>1327</v>
      </c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 t="s">
        <v>752</v>
      </c>
      <c r="T165" s="14"/>
    </row>
    <row r="166" spans="1:20" x14ac:dyDescent="0.25">
      <c r="A166" s="14">
        <f t="shared" si="7"/>
        <v>164</v>
      </c>
      <c r="B166" s="14" t="s">
        <v>1328</v>
      </c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</row>
    <row r="167" spans="1:20" x14ac:dyDescent="0.25">
      <c r="A167" s="14">
        <f t="shared" si="7"/>
        <v>165</v>
      </c>
      <c r="B167" s="14" t="s">
        <v>1329</v>
      </c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</row>
    <row r="168" spans="1:20" x14ac:dyDescent="0.25">
      <c r="A168" s="14">
        <f t="shared" si="7"/>
        <v>166</v>
      </c>
      <c r="B168" s="14" t="s">
        <v>1330</v>
      </c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</row>
    <row r="169" spans="1:20" x14ac:dyDescent="0.25">
      <c r="A169" s="14">
        <f t="shared" si="7"/>
        <v>167</v>
      </c>
      <c r="B169" s="14" t="s">
        <v>1331</v>
      </c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</row>
    <row r="170" spans="1:20" x14ac:dyDescent="0.25">
      <c r="A170" s="14">
        <f t="shared" si="7"/>
        <v>168</v>
      </c>
      <c r="B170" s="14" t="s">
        <v>1332</v>
      </c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</row>
    <row r="171" spans="1:20" x14ac:dyDescent="0.25">
      <c r="A171" s="14">
        <f t="shared" si="7"/>
        <v>169</v>
      </c>
      <c r="B171" s="14" t="s">
        <v>1333</v>
      </c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</row>
    <row r="172" spans="1:20" x14ac:dyDescent="0.25">
      <c r="A172" s="14">
        <f t="shared" si="7"/>
        <v>170</v>
      </c>
      <c r="B172" s="14" t="s">
        <v>1334</v>
      </c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</row>
    <row r="173" spans="1:20" x14ac:dyDescent="0.25">
      <c r="A173" s="14">
        <f t="shared" si="7"/>
        <v>171</v>
      </c>
      <c r="B173" s="14" t="s">
        <v>1335</v>
      </c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</row>
    <row r="174" spans="1:20" x14ac:dyDescent="0.25">
      <c r="A174" s="14">
        <f t="shared" si="7"/>
        <v>172</v>
      </c>
      <c r="B174" s="14" t="s">
        <v>1336</v>
      </c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</row>
    <row r="175" spans="1:20" x14ac:dyDescent="0.25">
      <c r="A175" s="14">
        <f t="shared" si="7"/>
        <v>173</v>
      </c>
      <c r="B175" s="14" t="s">
        <v>1337</v>
      </c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</row>
    <row r="176" spans="1:20" x14ac:dyDescent="0.25">
      <c r="A176" s="14">
        <f t="shared" si="7"/>
        <v>174</v>
      </c>
      <c r="B176" s="14" t="s">
        <v>1338</v>
      </c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</row>
    <row r="177" spans="1:20" x14ac:dyDescent="0.25">
      <c r="A177" s="14">
        <f t="shared" si="7"/>
        <v>175</v>
      </c>
      <c r="B177" s="14" t="s">
        <v>1339</v>
      </c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</row>
    <row r="178" spans="1:20" x14ac:dyDescent="0.25">
      <c r="A178" s="14">
        <f t="shared" si="7"/>
        <v>176</v>
      </c>
      <c r="B178" s="14" t="s">
        <v>1340</v>
      </c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</row>
    <row r="179" spans="1:20" x14ac:dyDescent="0.25">
      <c r="A179" s="14">
        <f t="shared" si="7"/>
        <v>177</v>
      </c>
      <c r="B179" s="14" t="s">
        <v>1341</v>
      </c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</row>
    <row r="180" spans="1:20" x14ac:dyDescent="0.25">
      <c r="A180" s="14">
        <f t="shared" si="7"/>
        <v>178</v>
      </c>
      <c r="B180" s="14" t="s">
        <v>1342</v>
      </c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 t="s">
        <v>753</v>
      </c>
      <c r="T180" s="14"/>
    </row>
    <row r="181" spans="1:20" x14ac:dyDescent="0.25">
      <c r="A181" s="14">
        <f t="shared" si="7"/>
        <v>179</v>
      </c>
      <c r="B181" s="14" t="s">
        <v>1343</v>
      </c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</row>
    <row r="182" spans="1:20" x14ac:dyDescent="0.25">
      <c r="A182" s="14">
        <f t="shared" si="7"/>
        <v>180</v>
      </c>
      <c r="B182" s="14" t="s">
        <v>1344</v>
      </c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</row>
    <row r="183" spans="1:20" x14ac:dyDescent="0.25">
      <c r="A183" s="14">
        <f t="shared" si="7"/>
        <v>181</v>
      </c>
      <c r="B183" s="14" t="s">
        <v>1345</v>
      </c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</row>
    <row r="184" spans="1:20" x14ac:dyDescent="0.25">
      <c r="A184" s="14">
        <f t="shared" si="7"/>
        <v>182</v>
      </c>
      <c r="B184" s="14" t="s">
        <v>1346</v>
      </c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</row>
    <row r="185" spans="1:20" x14ac:dyDescent="0.25">
      <c r="A185" s="14">
        <f t="shared" si="7"/>
        <v>183</v>
      </c>
      <c r="B185" s="14" t="s">
        <v>1347</v>
      </c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</row>
    <row r="186" spans="1:20" x14ac:dyDescent="0.25">
      <c r="A186" s="14">
        <f t="shared" si="7"/>
        <v>184</v>
      </c>
      <c r="B186" s="14" t="s">
        <v>1348</v>
      </c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</row>
    <row r="187" spans="1:20" x14ac:dyDescent="0.25">
      <c r="A187" s="14">
        <f t="shared" si="7"/>
        <v>185</v>
      </c>
      <c r="B187" s="14" t="s">
        <v>1349</v>
      </c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</row>
    <row r="188" spans="1:20" x14ac:dyDescent="0.25">
      <c r="A188" s="14">
        <f t="shared" si="7"/>
        <v>186</v>
      </c>
      <c r="B188" s="14" t="s">
        <v>1350</v>
      </c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</row>
    <row r="189" spans="1:20" x14ac:dyDescent="0.25">
      <c r="A189" s="14">
        <f t="shared" si="7"/>
        <v>187</v>
      </c>
      <c r="B189" s="14" t="s">
        <v>1351</v>
      </c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</row>
    <row r="190" spans="1:20" x14ac:dyDescent="0.25">
      <c r="A190" s="14">
        <f t="shared" si="7"/>
        <v>188</v>
      </c>
      <c r="B190" s="14" t="s">
        <v>1352</v>
      </c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</row>
    <row r="191" spans="1:20" x14ac:dyDescent="0.25">
      <c r="A191" s="14">
        <f t="shared" si="7"/>
        <v>189</v>
      </c>
      <c r="B191" s="14" t="s">
        <v>1353</v>
      </c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</row>
    <row r="192" spans="1:20" x14ac:dyDescent="0.25">
      <c r="A192" s="14">
        <f t="shared" si="7"/>
        <v>190</v>
      </c>
      <c r="B192" s="14" t="s">
        <v>1354</v>
      </c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</row>
    <row r="193" spans="1:20" x14ac:dyDescent="0.25">
      <c r="A193" s="14">
        <f t="shared" si="7"/>
        <v>191</v>
      </c>
      <c r="B193" s="14" t="s">
        <v>1355</v>
      </c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</row>
    <row r="194" spans="1:20" x14ac:dyDescent="0.25">
      <c r="A194" s="14">
        <f t="shared" si="7"/>
        <v>192</v>
      </c>
      <c r="B194" s="14" t="s">
        <v>1356</v>
      </c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</row>
    <row r="195" spans="1:20" x14ac:dyDescent="0.25">
      <c r="A195" s="14">
        <f t="shared" si="7"/>
        <v>193</v>
      </c>
      <c r="B195" s="14" t="s">
        <v>1357</v>
      </c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 t="s">
        <v>754</v>
      </c>
      <c r="T195" s="14"/>
    </row>
    <row r="196" spans="1:20" x14ac:dyDescent="0.25">
      <c r="A196" s="14">
        <f t="shared" ref="A196:A259" si="8">A195+1</f>
        <v>194</v>
      </c>
      <c r="B196" s="14" t="s">
        <v>1358</v>
      </c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</row>
    <row r="197" spans="1:20" x14ac:dyDescent="0.25">
      <c r="A197" s="14">
        <f t="shared" si="8"/>
        <v>195</v>
      </c>
      <c r="B197" s="14" t="s">
        <v>1359</v>
      </c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</row>
    <row r="198" spans="1:20" x14ac:dyDescent="0.25">
      <c r="A198" s="14">
        <f t="shared" si="8"/>
        <v>196</v>
      </c>
      <c r="B198" s="14" t="s">
        <v>1360</v>
      </c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</row>
    <row r="199" spans="1:20" x14ac:dyDescent="0.25">
      <c r="A199" s="14">
        <f t="shared" si="8"/>
        <v>197</v>
      </c>
      <c r="B199" s="14" t="s">
        <v>1361</v>
      </c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</row>
    <row r="200" spans="1:20" x14ac:dyDescent="0.25">
      <c r="A200" s="14">
        <f t="shared" si="8"/>
        <v>198</v>
      </c>
      <c r="B200" s="14" t="s">
        <v>1362</v>
      </c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</row>
    <row r="201" spans="1:20" x14ac:dyDescent="0.25">
      <c r="A201" s="14">
        <f t="shared" si="8"/>
        <v>199</v>
      </c>
      <c r="B201" s="14" t="s">
        <v>1363</v>
      </c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</row>
    <row r="202" spans="1:20" x14ac:dyDescent="0.25">
      <c r="A202" s="14">
        <f t="shared" si="8"/>
        <v>200</v>
      </c>
      <c r="B202" s="14" t="s">
        <v>1364</v>
      </c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</row>
    <row r="203" spans="1:20" x14ac:dyDescent="0.25">
      <c r="A203" s="14">
        <f t="shared" si="8"/>
        <v>201</v>
      </c>
      <c r="B203" s="14" t="s">
        <v>1365</v>
      </c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</row>
    <row r="204" spans="1:20" x14ac:dyDescent="0.25">
      <c r="A204" s="14">
        <f t="shared" si="8"/>
        <v>202</v>
      </c>
      <c r="B204" s="14" t="s">
        <v>1366</v>
      </c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</row>
    <row r="205" spans="1:20" x14ac:dyDescent="0.25">
      <c r="A205" s="14">
        <f t="shared" si="8"/>
        <v>203</v>
      </c>
      <c r="B205" s="14" t="s">
        <v>1367</v>
      </c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</row>
    <row r="206" spans="1:20" x14ac:dyDescent="0.25">
      <c r="A206" s="14">
        <f t="shared" si="8"/>
        <v>204</v>
      </c>
      <c r="B206" s="14" t="s">
        <v>1368</v>
      </c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</row>
    <row r="207" spans="1:20" x14ac:dyDescent="0.25">
      <c r="A207" s="14">
        <f t="shared" si="8"/>
        <v>205</v>
      </c>
      <c r="B207" s="14" t="s">
        <v>1369</v>
      </c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</row>
    <row r="208" spans="1:20" x14ac:dyDescent="0.25">
      <c r="A208" s="14">
        <f t="shared" si="8"/>
        <v>206</v>
      </c>
      <c r="B208" s="14" t="s">
        <v>1370</v>
      </c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</row>
    <row r="209" spans="1:20" x14ac:dyDescent="0.25">
      <c r="A209" s="14">
        <f t="shared" si="8"/>
        <v>207</v>
      </c>
      <c r="B209" s="14" t="s">
        <v>1371</v>
      </c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</row>
    <row r="210" spans="1:20" x14ac:dyDescent="0.25">
      <c r="A210" s="14">
        <f t="shared" si="8"/>
        <v>208</v>
      </c>
      <c r="B210" s="14" t="s">
        <v>1372</v>
      </c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 t="s">
        <v>755</v>
      </c>
      <c r="T210" s="14"/>
    </row>
    <row r="211" spans="1:20" x14ac:dyDescent="0.25">
      <c r="A211" s="14">
        <f t="shared" si="8"/>
        <v>209</v>
      </c>
      <c r="B211" s="14" t="s">
        <v>1373</v>
      </c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</row>
    <row r="212" spans="1:20" x14ac:dyDescent="0.25">
      <c r="A212" s="14">
        <f t="shared" si="8"/>
        <v>210</v>
      </c>
      <c r="B212" s="14" t="s">
        <v>1374</v>
      </c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</row>
    <row r="213" spans="1:20" x14ac:dyDescent="0.25">
      <c r="A213" s="14">
        <f t="shared" si="8"/>
        <v>211</v>
      </c>
      <c r="B213" s="14" t="s">
        <v>1375</v>
      </c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</row>
    <row r="214" spans="1:20" x14ac:dyDescent="0.25">
      <c r="A214" s="14">
        <f t="shared" si="8"/>
        <v>212</v>
      </c>
      <c r="B214" s="14" t="s">
        <v>1376</v>
      </c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</row>
    <row r="215" spans="1:20" x14ac:dyDescent="0.25">
      <c r="A215" s="14">
        <f t="shared" si="8"/>
        <v>213</v>
      </c>
      <c r="B215" s="14" t="s">
        <v>1377</v>
      </c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</row>
    <row r="216" spans="1:20" x14ac:dyDescent="0.25">
      <c r="A216" s="14">
        <f t="shared" si="8"/>
        <v>214</v>
      </c>
      <c r="B216" s="14" t="s">
        <v>1378</v>
      </c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</row>
    <row r="217" spans="1:20" x14ac:dyDescent="0.25">
      <c r="A217" s="14">
        <f t="shared" si="8"/>
        <v>215</v>
      </c>
      <c r="B217" s="14" t="s">
        <v>1379</v>
      </c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</row>
    <row r="218" spans="1:20" x14ac:dyDescent="0.25">
      <c r="A218" s="14">
        <f t="shared" si="8"/>
        <v>216</v>
      </c>
      <c r="B218" s="14" t="s">
        <v>1380</v>
      </c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</row>
    <row r="219" spans="1:20" x14ac:dyDescent="0.25">
      <c r="A219" s="14">
        <f t="shared" si="8"/>
        <v>217</v>
      </c>
      <c r="B219" s="14" t="s">
        <v>1381</v>
      </c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</row>
    <row r="220" spans="1:20" x14ac:dyDescent="0.25">
      <c r="A220" s="14">
        <f t="shared" si="8"/>
        <v>218</v>
      </c>
      <c r="B220" s="14" t="s">
        <v>1382</v>
      </c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</row>
    <row r="221" spans="1:20" x14ac:dyDescent="0.25">
      <c r="A221" s="14">
        <f t="shared" si="8"/>
        <v>219</v>
      </c>
      <c r="B221" s="14" t="s">
        <v>1383</v>
      </c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</row>
    <row r="222" spans="1:20" x14ac:dyDescent="0.25">
      <c r="A222" s="14">
        <f t="shared" si="8"/>
        <v>220</v>
      </c>
      <c r="B222" s="14" t="s">
        <v>1384</v>
      </c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</row>
    <row r="223" spans="1:20" x14ac:dyDescent="0.25">
      <c r="A223" s="14">
        <f t="shared" si="8"/>
        <v>221</v>
      </c>
      <c r="B223" s="14" t="s">
        <v>1385</v>
      </c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</row>
    <row r="224" spans="1:20" x14ac:dyDescent="0.25">
      <c r="A224" s="14">
        <f t="shared" si="8"/>
        <v>222</v>
      </c>
      <c r="B224" s="14" t="s">
        <v>1386</v>
      </c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</row>
    <row r="225" spans="1:20" x14ac:dyDescent="0.25">
      <c r="A225" s="14">
        <f t="shared" si="8"/>
        <v>223</v>
      </c>
      <c r="B225" s="14" t="s">
        <v>1387</v>
      </c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 t="s">
        <v>756</v>
      </c>
      <c r="T225" s="14"/>
    </row>
    <row r="226" spans="1:20" x14ac:dyDescent="0.25">
      <c r="A226" s="14">
        <f t="shared" si="8"/>
        <v>224</v>
      </c>
      <c r="B226" s="14" t="s">
        <v>1388</v>
      </c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</row>
    <row r="227" spans="1:20" x14ac:dyDescent="0.25">
      <c r="A227" s="14">
        <f t="shared" si="8"/>
        <v>225</v>
      </c>
      <c r="B227" s="14" t="s">
        <v>1389</v>
      </c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</row>
    <row r="228" spans="1:20" x14ac:dyDescent="0.25">
      <c r="A228" s="14">
        <f t="shared" si="8"/>
        <v>226</v>
      </c>
      <c r="B228" s="14" t="s">
        <v>1390</v>
      </c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</row>
    <row r="229" spans="1:20" x14ac:dyDescent="0.25">
      <c r="A229" s="14">
        <f t="shared" si="8"/>
        <v>227</v>
      </c>
      <c r="B229" s="14" t="s">
        <v>1391</v>
      </c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</row>
    <row r="230" spans="1:20" x14ac:dyDescent="0.25">
      <c r="A230" s="14">
        <f t="shared" si="8"/>
        <v>228</v>
      </c>
      <c r="B230" s="14" t="s">
        <v>1392</v>
      </c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</row>
    <row r="231" spans="1:20" x14ac:dyDescent="0.25">
      <c r="A231" s="14">
        <f t="shared" si="8"/>
        <v>229</v>
      </c>
      <c r="B231" s="14" t="s">
        <v>1393</v>
      </c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</row>
    <row r="232" spans="1:20" x14ac:dyDescent="0.25">
      <c r="A232" s="14">
        <f t="shared" si="8"/>
        <v>230</v>
      </c>
      <c r="B232" s="14" t="s">
        <v>1394</v>
      </c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</row>
    <row r="233" spans="1:20" x14ac:dyDescent="0.25">
      <c r="A233" s="14">
        <f t="shared" si="8"/>
        <v>231</v>
      </c>
      <c r="B233" s="14" t="s">
        <v>1395</v>
      </c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</row>
    <row r="234" spans="1:20" x14ac:dyDescent="0.25">
      <c r="A234" s="14">
        <f t="shared" si="8"/>
        <v>232</v>
      </c>
      <c r="B234" s="14" t="s">
        <v>1396</v>
      </c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</row>
    <row r="235" spans="1:20" x14ac:dyDescent="0.25">
      <c r="A235" s="14">
        <f t="shared" si="8"/>
        <v>233</v>
      </c>
      <c r="B235" s="14" t="s">
        <v>1397</v>
      </c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</row>
    <row r="236" spans="1:20" x14ac:dyDescent="0.25">
      <c r="A236" s="14">
        <f t="shared" si="8"/>
        <v>234</v>
      </c>
      <c r="B236" s="14" t="s">
        <v>1398</v>
      </c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</row>
    <row r="237" spans="1:20" x14ac:dyDescent="0.25">
      <c r="A237" s="14">
        <f t="shared" si="8"/>
        <v>235</v>
      </c>
      <c r="B237" s="14" t="s">
        <v>1399</v>
      </c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</row>
    <row r="238" spans="1:20" x14ac:dyDescent="0.25">
      <c r="A238" s="14">
        <f t="shared" si="8"/>
        <v>236</v>
      </c>
      <c r="B238" s="14" t="s">
        <v>1400</v>
      </c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</row>
    <row r="239" spans="1:20" x14ac:dyDescent="0.25">
      <c r="A239" s="14">
        <f t="shared" si="8"/>
        <v>237</v>
      </c>
      <c r="B239" s="14" t="s">
        <v>1401</v>
      </c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</row>
    <row r="240" spans="1:20" x14ac:dyDescent="0.25">
      <c r="A240" s="14">
        <f t="shared" si="8"/>
        <v>238</v>
      </c>
      <c r="B240" s="14" t="s">
        <v>1402</v>
      </c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 t="s">
        <v>757</v>
      </c>
      <c r="T240" s="14"/>
    </row>
    <row r="241" spans="1:20" x14ac:dyDescent="0.25">
      <c r="A241" s="14">
        <f t="shared" si="8"/>
        <v>239</v>
      </c>
      <c r="B241" s="14" t="s">
        <v>1403</v>
      </c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</row>
    <row r="242" spans="1:20" x14ac:dyDescent="0.25">
      <c r="A242" s="14">
        <f t="shared" si="8"/>
        <v>240</v>
      </c>
      <c r="B242" s="14" t="s">
        <v>1404</v>
      </c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</row>
    <row r="243" spans="1:20" x14ac:dyDescent="0.25">
      <c r="A243" s="14">
        <f t="shared" si="8"/>
        <v>241</v>
      </c>
      <c r="B243" s="14" t="s">
        <v>1405</v>
      </c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</row>
    <row r="244" spans="1:20" x14ac:dyDescent="0.25">
      <c r="A244" s="14">
        <f t="shared" si="8"/>
        <v>242</v>
      </c>
      <c r="B244" s="14" t="s">
        <v>1406</v>
      </c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</row>
    <row r="245" spans="1:20" x14ac:dyDescent="0.25">
      <c r="A245" s="14">
        <f t="shared" si="8"/>
        <v>243</v>
      </c>
      <c r="B245" s="14" t="s">
        <v>1407</v>
      </c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</row>
    <row r="246" spans="1:20" x14ac:dyDescent="0.25">
      <c r="A246" s="14">
        <f t="shared" si="8"/>
        <v>244</v>
      </c>
      <c r="B246" s="14" t="s">
        <v>1408</v>
      </c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</row>
    <row r="247" spans="1:20" x14ac:dyDescent="0.25">
      <c r="A247" s="14">
        <f t="shared" si="8"/>
        <v>245</v>
      </c>
      <c r="B247" s="14" t="s">
        <v>1409</v>
      </c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</row>
    <row r="248" spans="1:20" x14ac:dyDescent="0.25">
      <c r="A248" s="14">
        <f t="shared" si="8"/>
        <v>246</v>
      </c>
      <c r="B248" s="14" t="s">
        <v>1410</v>
      </c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</row>
    <row r="249" spans="1:20" x14ac:dyDescent="0.25">
      <c r="A249" s="14">
        <f t="shared" si="8"/>
        <v>247</v>
      </c>
      <c r="B249" s="14" t="s">
        <v>1411</v>
      </c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</row>
    <row r="250" spans="1:20" x14ac:dyDescent="0.25">
      <c r="A250" s="14">
        <f t="shared" si="8"/>
        <v>248</v>
      </c>
      <c r="B250" s="14" t="s">
        <v>1412</v>
      </c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</row>
    <row r="251" spans="1:20" x14ac:dyDescent="0.25">
      <c r="A251" s="14">
        <f t="shared" si="8"/>
        <v>249</v>
      </c>
      <c r="B251" s="14" t="s">
        <v>1413</v>
      </c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</row>
    <row r="252" spans="1:20" x14ac:dyDescent="0.25">
      <c r="A252" s="14">
        <f t="shared" si="8"/>
        <v>250</v>
      </c>
      <c r="B252" s="14" t="s">
        <v>1414</v>
      </c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</row>
    <row r="253" spans="1:20" x14ac:dyDescent="0.25">
      <c r="A253" s="14">
        <f t="shared" si="8"/>
        <v>251</v>
      </c>
      <c r="B253" s="14" t="s">
        <v>1415</v>
      </c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</row>
    <row r="254" spans="1:20" x14ac:dyDescent="0.25">
      <c r="A254" s="14">
        <f t="shared" si="8"/>
        <v>252</v>
      </c>
      <c r="B254" s="14" t="s">
        <v>1416</v>
      </c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</row>
    <row r="255" spans="1:20" x14ac:dyDescent="0.25">
      <c r="A255" s="14">
        <f t="shared" si="8"/>
        <v>253</v>
      </c>
      <c r="B255" s="14" t="s">
        <v>1417</v>
      </c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 t="s">
        <v>758</v>
      </c>
      <c r="T255" s="14"/>
    </row>
    <row r="256" spans="1:20" x14ac:dyDescent="0.25">
      <c r="A256" s="14">
        <f t="shared" si="8"/>
        <v>254</v>
      </c>
      <c r="B256" s="14" t="s">
        <v>1418</v>
      </c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</row>
    <row r="257" spans="1:20" x14ac:dyDescent="0.25">
      <c r="A257" s="14">
        <f t="shared" si="8"/>
        <v>255</v>
      </c>
      <c r="B257" s="14" t="s">
        <v>1419</v>
      </c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</row>
    <row r="258" spans="1:20" x14ac:dyDescent="0.25">
      <c r="A258" s="14">
        <f t="shared" si="8"/>
        <v>256</v>
      </c>
      <c r="B258" s="14" t="s">
        <v>1420</v>
      </c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</row>
    <row r="259" spans="1:20" x14ac:dyDescent="0.25">
      <c r="A259" s="14">
        <f t="shared" si="8"/>
        <v>257</v>
      </c>
      <c r="B259" s="14" t="s">
        <v>1421</v>
      </c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</row>
    <row r="260" spans="1:20" x14ac:dyDescent="0.25">
      <c r="A260" s="14">
        <f t="shared" ref="A260:A323" si="9">A259+1</f>
        <v>258</v>
      </c>
      <c r="B260" s="14" t="s">
        <v>1422</v>
      </c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</row>
    <row r="261" spans="1:20" x14ac:dyDescent="0.25">
      <c r="A261" s="14">
        <f t="shared" si="9"/>
        <v>259</v>
      </c>
      <c r="B261" s="14" t="s">
        <v>1423</v>
      </c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</row>
    <row r="262" spans="1:20" x14ac:dyDescent="0.25">
      <c r="A262" s="14">
        <f t="shared" si="9"/>
        <v>260</v>
      </c>
      <c r="B262" s="14" t="s">
        <v>1424</v>
      </c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</row>
    <row r="263" spans="1:20" x14ac:dyDescent="0.25">
      <c r="A263" s="14">
        <f t="shared" si="9"/>
        <v>261</v>
      </c>
      <c r="B263" s="14" t="s">
        <v>1425</v>
      </c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</row>
    <row r="264" spans="1:20" x14ac:dyDescent="0.25">
      <c r="A264" s="14">
        <f t="shared" si="9"/>
        <v>262</v>
      </c>
      <c r="B264" s="14" t="s">
        <v>1426</v>
      </c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</row>
    <row r="265" spans="1:20" x14ac:dyDescent="0.25">
      <c r="A265" s="14">
        <f t="shared" si="9"/>
        <v>263</v>
      </c>
      <c r="B265" s="14" t="s">
        <v>1427</v>
      </c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</row>
    <row r="266" spans="1:20" x14ac:dyDescent="0.25">
      <c r="A266" s="14">
        <f t="shared" si="9"/>
        <v>264</v>
      </c>
      <c r="B266" s="14" t="s">
        <v>1428</v>
      </c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</row>
    <row r="267" spans="1:20" x14ac:dyDescent="0.25">
      <c r="A267" s="14">
        <f t="shared" si="9"/>
        <v>265</v>
      </c>
      <c r="B267" s="14" t="s">
        <v>1429</v>
      </c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</row>
    <row r="268" spans="1:20" x14ac:dyDescent="0.25">
      <c r="A268" s="14">
        <f t="shared" si="9"/>
        <v>266</v>
      </c>
      <c r="B268" s="14" t="s">
        <v>1430</v>
      </c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</row>
    <row r="269" spans="1:20" x14ac:dyDescent="0.25">
      <c r="A269" s="14">
        <f t="shared" si="9"/>
        <v>267</v>
      </c>
      <c r="B269" s="14" t="s">
        <v>1431</v>
      </c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</row>
    <row r="270" spans="1:20" x14ac:dyDescent="0.25">
      <c r="A270" s="14">
        <f t="shared" si="9"/>
        <v>268</v>
      </c>
      <c r="B270" s="14" t="s">
        <v>1432</v>
      </c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 t="s">
        <v>759</v>
      </c>
      <c r="T270" s="14"/>
    </row>
    <row r="271" spans="1:20" x14ac:dyDescent="0.25">
      <c r="A271" s="14">
        <f t="shared" si="9"/>
        <v>269</v>
      </c>
      <c r="B271" s="14" t="s">
        <v>1433</v>
      </c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</row>
    <row r="272" spans="1:20" x14ac:dyDescent="0.25">
      <c r="A272" s="14">
        <f t="shared" si="9"/>
        <v>270</v>
      </c>
      <c r="B272" s="14" t="s">
        <v>1434</v>
      </c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</row>
    <row r="273" spans="1:20" x14ac:dyDescent="0.25">
      <c r="A273" s="14">
        <f t="shared" si="9"/>
        <v>271</v>
      </c>
      <c r="B273" s="14" t="s">
        <v>1435</v>
      </c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</row>
    <row r="274" spans="1:20" x14ac:dyDescent="0.25">
      <c r="A274" s="14">
        <f t="shared" si="9"/>
        <v>272</v>
      </c>
      <c r="B274" s="14" t="s">
        <v>1436</v>
      </c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</row>
    <row r="275" spans="1:20" x14ac:dyDescent="0.25">
      <c r="A275" s="14">
        <f t="shared" si="9"/>
        <v>273</v>
      </c>
      <c r="B275" s="14" t="s">
        <v>1437</v>
      </c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</row>
    <row r="276" spans="1:20" x14ac:dyDescent="0.25">
      <c r="A276" s="14">
        <f t="shared" si="9"/>
        <v>274</v>
      </c>
      <c r="B276" s="14" t="s">
        <v>1438</v>
      </c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</row>
    <row r="277" spans="1:20" x14ac:dyDescent="0.25">
      <c r="A277" s="14">
        <f t="shared" si="9"/>
        <v>275</v>
      </c>
      <c r="B277" s="14" t="s">
        <v>1439</v>
      </c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</row>
    <row r="278" spans="1:20" x14ac:dyDescent="0.25">
      <c r="A278" s="14">
        <f t="shared" si="9"/>
        <v>276</v>
      </c>
      <c r="B278" s="14" t="s">
        <v>1440</v>
      </c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</row>
    <row r="279" spans="1:20" x14ac:dyDescent="0.25">
      <c r="A279" s="14">
        <f t="shared" si="9"/>
        <v>277</v>
      </c>
      <c r="B279" s="14" t="s">
        <v>1441</v>
      </c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</row>
    <row r="280" spans="1:20" x14ac:dyDescent="0.25">
      <c r="A280" s="14">
        <f t="shared" si="9"/>
        <v>278</v>
      </c>
      <c r="B280" s="14" t="s">
        <v>1442</v>
      </c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</row>
    <row r="281" spans="1:20" x14ac:dyDescent="0.25">
      <c r="A281" s="14">
        <f t="shared" si="9"/>
        <v>279</v>
      </c>
      <c r="B281" s="14" t="s">
        <v>1443</v>
      </c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</row>
    <row r="282" spans="1:20" x14ac:dyDescent="0.25">
      <c r="A282" s="14">
        <f t="shared" si="9"/>
        <v>280</v>
      </c>
      <c r="B282" s="14" t="s">
        <v>1444</v>
      </c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</row>
    <row r="283" spans="1:20" x14ac:dyDescent="0.25">
      <c r="A283" s="14">
        <f t="shared" si="9"/>
        <v>281</v>
      </c>
      <c r="B283" s="14" t="s">
        <v>1445</v>
      </c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</row>
    <row r="284" spans="1:20" x14ac:dyDescent="0.25">
      <c r="A284" s="14">
        <f t="shared" si="9"/>
        <v>282</v>
      </c>
      <c r="B284" s="14" t="s">
        <v>1446</v>
      </c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</row>
    <row r="285" spans="1:20" x14ac:dyDescent="0.25">
      <c r="A285" s="14">
        <f t="shared" si="9"/>
        <v>283</v>
      </c>
      <c r="B285" s="14" t="s">
        <v>1447</v>
      </c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 t="s">
        <v>760</v>
      </c>
      <c r="T285" s="14"/>
    </row>
    <row r="286" spans="1:20" x14ac:dyDescent="0.25">
      <c r="A286" s="14">
        <f t="shared" si="9"/>
        <v>284</v>
      </c>
      <c r="B286" s="14" t="s">
        <v>1448</v>
      </c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</row>
    <row r="287" spans="1:20" x14ac:dyDescent="0.25">
      <c r="A287" s="14">
        <f t="shared" si="9"/>
        <v>285</v>
      </c>
      <c r="B287" s="14" t="s">
        <v>1449</v>
      </c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</row>
    <row r="288" spans="1:20" x14ac:dyDescent="0.25">
      <c r="A288" s="14">
        <f t="shared" si="9"/>
        <v>286</v>
      </c>
      <c r="B288" s="14" t="s">
        <v>1450</v>
      </c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</row>
    <row r="289" spans="1:20" x14ac:dyDescent="0.25">
      <c r="A289" s="14">
        <f t="shared" si="9"/>
        <v>287</v>
      </c>
      <c r="B289" s="14" t="s">
        <v>1451</v>
      </c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</row>
    <row r="290" spans="1:20" x14ac:dyDescent="0.25">
      <c r="A290" s="14">
        <f t="shared" si="9"/>
        <v>288</v>
      </c>
      <c r="B290" s="14" t="s">
        <v>1452</v>
      </c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</row>
    <row r="291" spans="1:20" x14ac:dyDescent="0.25">
      <c r="A291" s="14">
        <f t="shared" si="9"/>
        <v>289</v>
      </c>
      <c r="B291" s="14" t="s">
        <v>1453</v>
      </c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</row>
    <row r="292" spans="1:20" x14ac:dyDescent="0.25">
      <c r="A292" s="14">
        <f t="shared" si="9"/>
        <v>290</v>
      </c>
      <c r="B292" s="14" t="s">
        <v>1454</v>
      </c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</row>
    <row r="293" spans="1:20" x14ac:dyDescent="0.25">
      <c r="A293" s="14">
        <f t="shared" si="9"/>
        <v>291</v>
      </c>
      <c r="B293" s="14" t="s">
        <v>1455</v>
      </c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</row>
    <row r="294" spans="1:20" x14ac:dyDescent="0.25">
      <c r="A294" s="14">
        <f t="shared" si="9"/>
        <v>292</v>
      </c>
      <c r="B294" s="14" t="s">
        <v>1456</v>
      </c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</row>
    <row r="295" spans="1:20" x14ac:dyDescent="0.25">
      <c r="A295" s="14">
        <f t="shared" si="9"/>
        <v>293</v>
      </c>
      <c r="B295" s="14" t="s">
        <v>1457</v>
      </c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</row>
    <row r="296" spans="1:20" x14ac:dyDescent="0.25">
      <c r="A296" s="14">
        <f t="shared" si="9"/>
        <v>294</v>
      </c>
      <c r="B296" s="14" t="s">
        <v>1458</v>
      </c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</row>
    <row r="297" spans="1:20" x14ac:dyDescent="0.25">
      <c r="A297" s="14">
        <f t="shared" si="9"/>
        <v>295</v>
      </c>
      <c r="B297" s="14" t="s">
        <v>1459</v>
      </c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</row>
    <row r="298" spans="1:20" x14ac:dyDescent="0.25">
      <c r="A298" s="14">
        <f t="shared" si="9"/>
        <v>296</v>
      </c>
      <c r="B298" s="14" t="s">
        <v>1460</v>
      </c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</row>
    <row r="299" spans="1:20" x14ac:dyDescent="0.25">
      <c r="A299" s="14">
        <f t="shared" si="9"/>
        <v>297</v>
      </c>
      <c r="B299" s="14" t="s">
        <v>1461</v>
      </c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</row>
    <row r="300" spans="1:20" x14ac:dyDescent="0.25">
      <c r="A300" s="14">
        <f t="shared" si="9"/>
        <v>298</v>
      </c>
      <c r="B300" s="14" t="s">
        <v>1462</v>
      </c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 t="s">
        <v>761</v>
      </c>
      <c r="T300" s="14"/>
    </row>
    <row r="301" spans="1:20" x14ac:dyDescent="0.25">
      <c r="A301" s="14">
        <f t="shared" si="9"/>
        <v>299</v>
      </c>
      <c r="B301" s="14" t="s">
        <v>1463</v>
      </c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</row>
    <row r="302" spans="1:20" x14ac:dyDescent="0.25">
      <c r="A302" s="14">
        <f t="shared" si="9"/>
        <v>300</v>
      </c>
      <c r="B302" s="14" t="s">
        <v>1464</v>
      </c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</row>
    <row r="303" spans="1:20" x14ac:dyDescent="0.25">
      <c r="A303" s="14">
        <f t="shared" si="9"/>
        <v>301</v>
      </c>
      <c r="B303" s="14" t="s">
        <v>1465</v>
      </c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</row>
    <row r="304" spans="1:20" x14ac:dyDescent="0.25">
      <c r="A304" s="14">
        <f t="shared" si="9"/>
        <v>302</v>
      </c>
      <c r="B304" s="14" t="s">
        <v>1466</v>
      </c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</row>
    <row r="305" spans="1:20" x14ac:dyDescent="0.25">
      <c r="A305" s="14">
        <f t="shared" si="9"/>
        <v>303</v>
      </c>
      <c r="B305" s="14" t="s">
        <v>1467</v>
      </c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</row>
    <row r="306" spans="1:20" x14ac:dyDescent="0.25">
      <c r="A306" s="14">
        <f t="shared" si="9"/>
        <v>304</v>
      </c>
      <c r="B306" s="14" t="s">
        <v>1468</v>
      </c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</row>
    <row r="307" spans="1:20" x14ac:dyDescent="0.25">
      <c r="A307" s="14">
        <f t="shared" si="9"/>
        <v>305</v>
      </c>
      <c r="B307" s="14" t="s">
        <v>1469</v>
      </c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</row>
    <row r="308" spans="1:20" x14ac:dyDescent="0.25">
      <c r="A308" s="14">
        <f t="shared" si="9"/>
        <v>306</v>
      </c>
      <c r="B308" s="14" t="s">
        <v>1470</v>
      </c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</row>
    <row r="309" spans="1:20" x14ac:dyDescent="0.25">
      <c r="A309" s="14">
        <f t="shared" si="9"/>
        <v>307</v>
      </c>
      <c r="B309" s="14" t="s">
        <v>1471</v>
      </c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</row>
    <row r="310" spans="1:20" x14ac:dyDescent="0.25">
      <c r="A310" s="14">
        <f t="shared" si="9"/>
        <v>308</v>
      </c>
      <c r="B310" s="14" t="s">
        <v>1472</v>
      </c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</row>
    <row r="311" spans="1:20" x14ac:dyDescent="0.25">
      <c r="A311" s="14">
        <f t="shared" si="9"/>
        <v>309</v>
      </c>
      <c r="B311" s="14" t="s">
        <v>1473</v>
      </c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</row>
    <row r="312" spans="1:20" x14ac:dyDescent="0.25">
      <c r="A312" s="14">
        <f t="shared" si="9"/>
        <v>310</v>
      </c>
      <c r="B312" s="14" t="s">
        <v>1474</v>
      </c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</row>
    <row r="313" spans="1:20" x14ac:dyDescent="0.25">
      <c r="A313" s="14">
        <f t="shared" si="9"/>
        <v>311</v>
      </c>
      <c r="B313" s="14" t="s">
        <v>1475</v>
      </c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</row>
    <row r="314" spans="1:20" x14ac:dyDescent="0.25">
      <c r="A314" s="14">
        <f t="shared" si="9"/>
        <v>312</v>
      </c>
      <c r="B314" s="14" t="s">
        <v>1476</v>
      </c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</row>
    <row r="315" spans="1:20" x14ac:dyDescent="0.25">
      <c r="A315" s="14">
        <f t="shared" si="9"/>
        <v>313</v>
      </c>
      <c r="B315" s="14" t="s">
        <v>1477</v>
      </c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 t="s">
        <v>762</v>
      </c>
      <c r="T315" s="14"/>
    </row>
    <row r="316" spans="1:20" x14ac:dyDescent="0.25">
      <c r="A316" s="14">
        <f t="shared" si="9"/>
        <v>314</v>
      </c>
      <c r="B316" s="14" t="s">
        <v>1478</v>
      </c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</row>
    <row r="317" spans="1:20" x14ac:dyDescent="0.25">
      <c r="A317" s="14">
        <f t="shared" si="9"/>
        <v>315</v>
      </c>
      <c r="B317" s="14" t="s">
        <v>1479</v>
      </c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</row>
    <row r="318" spans="1:20" x14ac:dyDescent="0.25">
      <c r="A318" s="14">
        <f t="shared" si="9"/>
        <v>316</v>
      </c>
      <c r="B318" s="14" t="s">
        <v>1480</v>
      </c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</row>
    <row r="319" spans="1:20" x14ac:dyDescent="0.25">
      <c r="A319" s="14">
        <f t="shared" si="9"/>
        <v>317</v>
      </c>
      <c r="B319" s="14" t="s">
        <v>1481</v>
      </c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</row>
    <row r="320" spans="1:20" x14ac:dyDescent="0.25">
      <c r="A320" s="14">
        <f t="shared" si="9"/>
        <v>318</v>
      </c>
      <c r="B320" s="14" t="s">
        <v>1482</v>
      </c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</row>
    <row r="321" spans="1:20" x14ac:dyDescent="0.25">
      <c r="A321" s="14">
        <f t="shared" si="9"/>
        <v>319</v>
      </c>
      <c r="B321" s="14" t="s">
        <v>1483</v>
      </c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</row>
    <row r="322" spans="1:20" x14ac:dyDescent="0.25">
      <c r="A322" s="14">
        <f t="shared" si="9"/>
        <v>320</v>
      </c>
      <c r="B322" s="14" t="s">
        <v>1484</v>
      </c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</row>
    <row r="323" spans="1:20" x14ac:dyDescent="0.25">
      <c r="A323" s="14">
        <f t="shared" si="9"/>
        <v>321</v>
      </c>
      <c r="B323" s="14" t="s">
        <v>1485</v>
      </c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</row>
    <row r="324" spans="1:20" x14ac:dyDescent="0.25">
      <c r="A324" s="14">
        <f t="shared" ref="A324:A387" si="10">A323+1</f>
        <v>322</v>
      </c>
      <c r="B324" s="14" t="s">
        <v>1486</v>
      </c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</row>
    <row r="325" spans="1:20" x14ac:dyDescent="0.25">
      <c r="A325" s="14">
        <f t="shared" si="10"/>
        <v>323</v>
      </c>
      <c r="B325" s="14" t="s">
        <v>1487</v>
      </c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</row>
    <row r="326" spans="1:20" x14ac:dyDescent="0.25">
      <c r="A326" s="14">
        <f t="shared" si="10"/>
        <v>324</v>
      </c>
      <c r="B326" s="14" t="s">
        <v>1488</v>
      </c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</row>
    <row r="327" spans="1:20" x14ac:dyDescent="0.25">
      <c r="A327" s="14">
        <f t="shared" si="10"/>
        <v>325</v>
      </c>
      <c r="B327" s="14" t="s">
        <v>1489</v>
      </c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</row>
    <row r="328" spans="1:20" x14ac:dyDescent="0.25">
      <c r="A328" s="14">
        <f t="shared" si="10"/>
        <v>326</v>
      </c>
      <c r="B328" s="14" t="s">
        <v>1490</v>
      </c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</row>
    <row r="329" spans="1:20" x14ac:dyDescent="0.25">
      <c r="A329" s="14">
        <f t="shared" si="10"/>
        <v>327</v>
      </c>
      <c r="B329" s="14" t="s">
        <v>1491</v>
      </c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</row>
    <row r="330" spans="1:20" x14ac:dyDescent="0.25">
      <c r="A330" s="14">
        <f t="shared" si="10"/>
        <v>328</v>
      </c>
      <c r="B330" s="14" t="s">
        <v>1492</v>
      </c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 t="s">
        <v>763</v>
      </c>
      <c r="T330" s="14"/>
    </row>
    <row r="331" spans="1:20" x14ac:dyDescent="0.25">
      <c r="A331" s="14">
        <f t="shared" si="10"/>
        <v>329</v>
      </c>
      <c r="B331" s="14" t="s">
        <v>1493</v>
      </c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</row>
    <row r="332" spans="1:20" x14ac:dyDescent="0.25">
      <c r="A332" s="14">
        <f t="shared" si="10"/>
        <v>330</v>
      </c>
      <c r="B332" s="14" t="s">
        <v>1494</v>
      </c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</row>
    <row r="333" spans="1:20" x14ac:dyDescent="0.25">
      <c r="A333" s="14">
        <f t="shared" si="10"/>
        <v>331</v>
      </c>
      <c r="B333" s="14" t="s">
        <v>1495</v>
      </c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</row>
    <row r="334" spans="1:20" x14ac:dyDescent="0.25">
      <c r="A334" s="14">
        <f t="shared" si="10"/>
        <v>332</v>
      </c>
      <c r="B334" s="14" t="s">
        <v>1496</v>
      </c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</row>
    <row r="335" spans="1:20" x14ac:dyDescent="0.25">
      <c r="A335" s="14">
        <f t="shared" si="10"/>
        <v>333</v>
      </c>
      <c r="B335" s="14" t="s">
        <v>1497</v>
      </c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</row>
    <row r="336" spans="1:20" x14ac:dyDescent="0.25">
      <c r="A336" s="14">
        <f t="shared" si="10"/>
        <v>334</v>
      </c>
      <c r="B336" s="14" t="s">
        <v>1498</v>
      </c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</row>
    <row r="337" spans="1:20" x14ac:dyDescent="0.25">
      <c r="A337" s="14">
        <f t="shared" si="10"/>
        <v>335</v>
      </c>
      <c r="B337" s="14" t="s">
        <v>1499</v>
      </c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</row>
    <row r="338" spans="1:20" x14ac:dyDescent="0.25">
      <c r="A338" s="14">
        <f t="shared" si="10"/>
        <v>336</v>
      </c>
      <c r="B338" s="14" t="s">
        <v>1500</v>
      </c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</row>
    <row r="339" spans="1:20" x14ac:dyDescent="0.25">
      <c r="A339" s="14">
        <f t="shared" si="10"/>
        <v>337</v>
      </c>
      <c r="B339" s="14" t="s">
        <v>1501</v>
      </c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</row>
    <row r="340" spans="1:20" x14ac:dyDescent="0.25">
      <c r="A340" s="14">
        <f t="shared" si="10"/>
        <v>338</v>
      </c>
      <c r="B340" s="14" t="s">
        <v>1502</v>
      </c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</row>
    <row r="341" spans="1:20" x14ac:dyDescent="0.25">
      <c r="A341" s="14">
        <f t="shared" si="10"/>
        <v>339</v>
      </c>
      <c r="B341" s="14" t="s">
        <v>1503</v>
      </c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</row>
    <row r="342" spans="1:20" x14ac:dyDescent="0.25">
      <c r="A342" s="14">
        <f t="shared" si="10"/>
        <v>340</v>
      </c>
      <c r="B342" s="14" t="s">
        <v>1504</v>
      </c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</row>
    <row r="343" spans="1:20" x14ac:dyDescent="0.25">
      <c r="A343" s="14">
        <f t="shared" si="10"/>
        <v>341</v>
      </c>
      <c r="B343" s="14" t="s">
        <v>1505</v>
      </c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</row>
    <row r="344" spans="1:20" x14ac:dyDescent="0.25">
      <c r="A344" s="14">
        <f t="shared" si="10"/>
        <v>342</v>
      </c>
      <c r="B344" s="14" t="s">
        <v>1506</v>
      </c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</row>
    <row r="345" spans="1:20" x14ac:dyDescent="0.25">
      <c r="A345" s="14">
        <f t="shared" si="10"/>
        <v>343</v>
      </c>
      <c r="B345" s="14" t="s">
        <v>1507</v>
      </c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 t="s">
        <v>764</v>
      </c>
      <c r="T345" s="14"/>
    </row>
    <row r="346" spans="1:20" x14ac:dyDescent="0.25">
      <c r="A346" s="14">
        <f t="shared" si="10"/>
        <v>344</v>
      </c>
      <c r="B346" s="14" t="s">
        <v>1508</v>
      </c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</row>
    <row r="347" spans="1:20" x14ac:dyDescent="0.25">
      <c r="A347" s="14">
        <f t="shared" si="10"/>
        <v>345</v>
      </c>
      <c r="B347" s="14" t="s">
        <v>1509</v>
      </c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</row>
    <row r="348" spans="1:20" x14ac:dyDescent="0.25">
      <c r="A348" s="14">
        <f t="shared" si="10"/>
        <v>346</v>
      </c>
      <c r="B348" s="14" t="s">
        <v>1510</v>
      </c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</row>
    <row r="349" spans="1:20" x14ac:dyDescent="0.25">
      <c r="A349" s="14">
        <f t="shared" si="10"/>
        <v>347</v>
      </c>
      <c r="B349" s="14" t="s">
        <v>1511</v>
      </c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</row>
    <row r="350" spans="1:20" x14ac:dyDescent="0.25">
      <c r="A350" s="14">
        <f t="shared" si="10"/>
        <v>348</v>
      </c>
      <c r="B350" s="14" t="s">
        <v>1512</v>
      </c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</row>
    <row r="351" spans="1:20" x14ac:dyDescent="0.25">
      <c r="A351" s="14">
        <f t="shared" si="10"/>
        <v>349</v>
      </c>
      <c r="B351" s="14" t="s">
        <v>1513</v>
      </c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</row>
    <row r="352" spans="1:20" x14ac:dyDescent="0.25">
      <c r="A352" s="14">
        <f t="shared" si="10"/>
        <v>350</v>
      </c>
      <c r="B352" s="14" t="s">
        <v>1514</v>
      </c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</row>
    <row r="353" spans="1:20" x14ac:dyDescent="0.25">
      <c r="A353" s="14">
        <f t="shared" si="10"/>
        <v>351</v>
      </c>
      <c r="B353" s="14" t="s">
        <v>1515</v>
      </c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</row>
    <row r="354" spans="1:20" x14ac:dyDescent="0.25">
      <c r="A354" s="14">
        <f t="shared" si="10"/>
        <v>352</v>
      </c>
      <c r="B354" s="14" t="s">
        <v>1516</v>
      </c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</row>
    <row r="355" spans="1:20" x14ac:dyDescent="0.25">
      <c r="A355" s="14">
        <f t="shared" si="10"/>
        <v>353</v>
      </c>
      <c r="B355" s="14" t="s">
        <v>1517</v>
      </c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</row>
    <row r="356" spans="1:20" x14ac:dyDescent="0.25">
      <c r="A356" s="14">
        <f t="shared" si="10"/>
        <v>354</v>
      </c>
      <c r="B356" s="14" t="s">
        <v>1518</v>
      </c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</row>
    <row r="357" spans="1:20" x14ac:dyDescent="0.25">
      <c r="A357" s="14">
        <f t="shared" si="10"/>
        <v>355</v>
      </c>
      <c r="B357" s="14" t="s">
        <v>1519</v>
      </c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</row>
    <row r="358" spans="1:20" x14ac:dyDescent="0.25">
      <c r="A358" s="14">
        <f t="shared" si="10"/>
        <v>356</v>
      </c>
      <c r="B358" s="14" t="s">
        <v>1520</v>
      </c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</row>
    <row r="359" spans="1:20" x14ac:dyDescent="0.25">
      <c r="A359" s="14">
        <f t="shared" si="10"/>
        <v>357</v>
      </c>
      <c r="B359" s="14" t="s">
        <v>1521</v>
      </c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</row>
    <row r="360" spans="1:20" x14ac:dyDescent="0.25">
      <c r="A360" s="14">
        <f t="shared" si="10"/>
        <v>358</v>
      </c>
      <c r="B360" s="14" t="s">
        <v>1522</v>
      </c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 t="s">
        <v>765</v>
      </c>
      <c r="T360" s="14"/>
    </row>
    <row r="361" spans="1:20" x14ac:dyDescent="0.25">
      <c r="A361" s="14">
        <f t="shared" si="10"/>
        <v>359</v>
      </c>
      <c r="B361" s="14" t="s">
        <v>1523</v>
      </c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</row>
    <row r="362" spans="1:20" x14ac:dyDescent="0.25">
      <c r="A362" s="14">
        <f t="shared" si="10"/>
        <v>360</v>
      </c>
      <c r="B362" s="14" t="s">
        <v>1524</v>
      </c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</row>
    <row r="363" spans="1:20" x14ac:dyDescent="0.25">
      <c r="A363" s="14">
        <f t="shared" si="10"/>
        <v>361</v>
      </c>
      <c r="B363" s="14" t="s">
        <v>1525</v>
      </c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</row>
    <row r="364" spans="1:20" x14ac:dyDescent="0.25">
      <c r="A364" s="14">
        <f t="shared" si="10"/>
        <v>362</v>
      </c>
      <c r="B364" s="14" t="s">
        <v>1526</v>
      </c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</row>
    <row r="365" spans="1:20" x14ac:dyDescent="0.25">
      <c r="A365" s="14">
        <f t="shared" si="10"/>
        <v>363</v>
      </c>
      <c r="B365" s="14" t="s">
        <v>1527</v>
      </c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</row>
    <row r="366" spans="1:20" x14ac:dyDescent="0.25">
      <c r="A366" s="14">
        <f t="shared" si="10"/>
        <v>364</v>
      </c>
      <c r="B366" s="14" t="s">
        <v>1528</v>
      </c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</row>
    <row r="367" spans="1:20" x14ac:dyDescent="0.25">
      <c r="A367" s="14">
        <f t="shared" si="10"/>
        <v>365</v>
      </c>
      <c r="B367" s="14" t="s">
        <v>1529</v>
      </c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</row>
    <row r="368" spans="1:20" x14ac:dyDescent="0.25">
      <c r="A368" s="14">
        <f t="shared" si="10"/>
        <v>366</v>
      </c>
      <c r="B368" s="14" t="s">
        <v>1530</v>
      </c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</row>
    <row r="369" spans="1:20" x14ac:dyDescent="0.25">
      <c r="A369" s="14">
        <f t="shared" si="10"/>
        <v>367</v>
      </c>
      <c r="B369" s="14" t="s">
        <v>1531</v>
      </c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</row>
    <row r="370" spans="1:20" x14ac:dyDescent="0.25">
      <c r="A370" s="14">
        <f t="shared" si="10"/>
        <v>368</v>
      </c>
      <c r="B370" s="14" t="s">
        <v>1532</v>
      </c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</row>
    <row r="371" spans="1:20" x14ac:dyDescent="0.25">
      <c r="A371" s="14">
        <f t="shared" si="10"/>
        <v>369</v>
      </c>
      <c r="B371" s="14" t="s">
        <v>1533</v>
      </c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</row>
    <row r="372" spans="1:20" x14ac:dyDescent="0.25">
      <c r="A372" s="14">
        <f t="shared" si="10"/>
        <v>370</v>
      </c>
      <c r="B372" s="14" t="s">
        <v>1534</v>
      </c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</row>
    <row r="373" spans="1:20" x14ac:dyDescent="0.25">
      <c r="A373" s="14">
        <f t="shared" si="10"/>
        <v>371</v>
      </c>
      <c r="B373" s="14" t="s">
        <v>1535</v>
      </c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</row>
    <row r="374" spans="1:20" x14ac:dyDescent="0.25">
      <c r="A374" s="14">
        <f t="shared" si="10"/>
        <v>372</v>
      </c>
      <c r="B374" s="14" t="s">
        <v>1536</v>
      </c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</row>
    <row r="375" spans="1:20" x14ac:dyDescent="0.25">
      <c r="A375" s="14">
        <f t="shared" si="10"/>
        <v>373</v>
      </c>
      <c r="B375" s="14" t="s">
        <v>1537</v>
      </c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 t="s">
        <v>766</v>
      </c>
      <c r="T375" s="14"/>
    </row>
    <row r="376" spans="1:20" x14ac:dyDescent="0.25">
      <c r="A376" s="14">
        <f t="shared" si="10"/>
        <v>374</v>
      </c>
      <c r="B376" s="14" t="s">
        <v>1538</v>
      </c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</row>
    <row r="377" spans="1:20" x14ac:dyDescent="0.25">
      <c r="A377" s="14">
        <f t="shared" si="10"/>
        <v>375</v>
      </c>
      <c r="B377" s="14" t="s">
        <v>1539</v>
      </c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</row>
    <row r="378" spans="1:20" x14ac:dyDescent="0.25">
      <c r="A378" s="14">
        <f t="shared" si="10"/>
        <v>376</v>
      </c>
      <c r="B378" s="14" t="s">
        <v>1540</v>
      </c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</row>
    <row r="379" spans="1:20" x14ac:dyDescent="0.25">
      <c r="A379" s="14">
        <f t="shared" si="10"/>
        <v>377</v>
      </c>
      <c r="B379" s="14" t="s">
        <v>1541</v>
      </c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</row>
    <row r="380" spans="1:20" x14ac:dyDescent="0.25">
      <c r="A380" s="14">
        <f t="shared" si="10"/>
        <v>378</v>
      </c>
      <c r="B380" s="14" t="s">
        <v>1542</v>
      </c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</row>
    <row r="381" spans="1:20" x14ac:dyDescent="0.25">
      <c r="A381" s="14">
        <f t="shared" si="10"/>
        <v>379</v>
      </c>
      <c r="B381" s="14" t="s">
        <v>1543</v>
      </c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</row>
    <row r="382" spans="1:20" x14ac:dyDescent="0.25">
      <c r="A382" s="14">
        <f t="shared" si="10"/>
        <v>380</v>
      </c>
      <c r="B382" s="14" t="s">
        <v>1544</v>
      </c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</row>
    <row r="383" spans="1:20" x14ac:dyDescent="0.25">
      <c r="A383" s="14">
        <f t="shared" si="10"/>
        <v>381</v>
      </c>
      <c r="B383" s="14" t="s">
        <v>1545</v>
      </c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</row>
    <row r="384" spans="1:20" x14ac:dyDescent="0.25">
      <c r="A384" s="14">
        <f t="shared" si="10"/>
        <v>382</v>
      </c>
      <c r="B384" s="14" t="s">
        <v>1546</v>
      </c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</row>
    <row r="385" spans="1:20" x14ac:dyDescent="0.25">
      <c r="A385" s="14">
        <f t="shared" si="10"/>
        <v>383</v>
      </c>
      <c r="B385" s="14" t="s">
        <v>1547</v>
      </c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</row>
    <row r="386" spans="1:20" x14ac:dyDescent="0.25">
      <c r="A386" s="14">
        <f t="shared" si="10"/>
        <v>384</v>
      </c>
      <c r="B386" s="14" t="s">
        <v>1548</v>
      </c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</row>
    <row r="387" spans="1:20" x14ac:dyDescent="0.25">
      <c r="A387" s="14">
        <f t="shared" si="10"/>
        <v>385</v>
      </c>
      <c r="B387" s="14" t="s">
        <v>1549</v>
      </c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</row>
    <row r="388" spans="1:20" x14ac:dyDescent="0.25">
      <c r="A388" s="14">
        <f t="shared" ref="A388:A451" si="11">A387+1</f>
        <v>386</v>
      </c>
      <c r="B388" s="14" t="s">
        <v>1550</v>
      </c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</row>
    <row r="389" spans="1:20" x14ac:dyDescent="0.25">
      <c r="A389" s="14">
        <f t="shared" si="11"/>
        <v>387</v>
      </c>
      <c r="B389" s="14" t="s">
        <v>1551</v>
      </c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 t="s">
        <v>767</v>
      </c>
      <c r="T389" s="14"/>
    </row>
    <row r="390" spans="1:20" x14ac:dyDescent="0.25">
      <c r="A390" s="14">
        <f t="shared" si="11"/>
        <v>388</v>
      </c>
      <c r="B390" s="14" t="s">
        <v>1552</v>
      </c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</row>
    <row r="391" spans="1:20" x14ac:dyDescent="0.25">
      <c r="A391" s="14">
        <f t="shared" si="11"/>
        <v>389</v>
      </c>
      <c r="B391" s="14" t="s">
        <v>1553</v>
      </c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</row>
    <row r="392" spans="1:20" x14ac:dyDescent="0.25">
      <c r="A392" s="14">
        <f t="shared" si="11"/>
        <v>390</v>
      </c>
      <c r="B392" s="14" t="s">
        <v>1554</v>
      </c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</row>
    <row r="393" spans="1:20" x14ac:dyDescent="0.25">
      <c r="A393" s="14">
        <f t="shared" si="11"/>
        <v>391</v>
      </c>
      <c r="B393" s="14" t="s">
        <v>1555</v>
      </c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</row>
    <row r="394" spans="1:20" x14ac:dyDescent="0.25">
      <c r="A394" s="14">
        <f t="shared" si="11"/>
        <v>392</v>
      </c>
      <c r="B394" s="14" t="s">
        <v>1556</v>
      </c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</row>
    <row r="395" spans="1:20" x14ac:dyDescent="0.25">
      <c r="A395" s="14">
        <f t="shared" si="11"/>
        <v>393</v>
      </c>
      <c r="B395" s="14" t="s">
        <v>1557</v>
      </c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</row>
    <row r="396" spans="1:20" x14ac:dyDescent="0.25">
      <c r="A396" s="14">
        <f t="shared" si="11"/>
        <v>394</v>
      </c>
      <c r="B396" s="14" t="s">
        <v>1558</v>
      </c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</row>
    <row r="397" spans="1:20" x14ac:dyDescent="0.25">
      <c r="A397" s="14">
        <f t="shared" si="11"/>
        <v>395</v>
      </c>
      <c r="B397" s="14" t="s">
        <v>1559</v>
      </c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</row>
    <row r="398" spans="1:20" x14ac:dyDescent="0.25">
      <c r="A398" s="14">
        <f t="shared" si="11"/>
        <v>396</v>
      </c>
      <c r="B398" s="14" t="s">
        <v>1560</v>
      </c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</row>
    <row r="399" spans="1:20" x14ac:dyDescent="0.25">
      <c r="A399" s="14">
        <f t="shared" si="11"/>
        <v>397</v>
      </c>
      <c r="B399" s="14" t="s">
        <v>1561</v>
      </c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</row>
    <row r="400" spans="1:20" x14ac:dyDescent="0.25">
      <c r="A400" s="14">
        <f t="shared" si="11"/>
        <v>398</v>
      </c>
      <c r="B400" s="14" t="s">
        <v>1562</v>
      </c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</row>
    <row r="401" spans="1:20" x14ac:dyDescent="0.25">
      <c r="A401" s="14">
        <f t="shared" si="11"/>
        <v>399</v>
      </c>
      <c r="B401" s="14" t="s">
        <v>1563</v>
      </c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</row>
    <row r="402" spans="1:20" x14ac:dyDescent="0.25">
      <c r="A402" s="14">
        <f t="shared" si="11"/>
        <v>400</v>
      </c>
      <c r="B402" s="14" t="s">
        <v>1564</v>
      </c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</row>
    <row r="403" spans="1:20" x14ac:dyDescent="0.25">
      <c r="A403" s="14">
        <f t="shared" si="11"/>
        <v>401</v>
      </c>
      <c r="B403" s="14" t="s">
        <v>1565</v>
      </c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</row>
    <row r="404" spans="1:20" x14ac:dyDescent="0.25">
      <c r="A404" s="14">
        <f t="shared" si="11"/>
        <v>402</v>
      </c>
      <c r="B404" s="14" t="s">
        <v>1566</v>
      </c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 t="s">
        <v>768</v>
      </c>
      <c r="T404" s="14"/>
    </row>
    <row r="405" spans="1:20" x14ac:dyDescent="0.25">
      <c r="A405" s="14">
        <f t="shared" si="11"/>
        <v>403</v>
      </c>
      <c r="B405" s="14" t="s">
        <v>1567</v>
      </c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</row>
    <row r="406" spans="1:20" x14ac:dyDescent="0.25">
      <c r="A406" s="14">
        <f t="shared" si="11"/>
        <v>404</v>
      </c>
      <c r="B406" s="14" t="s">
        <v>1568</v>
      </c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</row>
    <row r="407" spans="1:20" x14ac:dyDescent="0.25">
      <c r="A407" s="14">
        <f t="shared" si="11"/>
        <v>405</v>
      </c>
      <c r="B407" s="14" t="s">
        <v>1569</v>
      </c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</row>
    <row r="408" spans="1:20" x14ac:dyDescent="0.25">
      <c r="A408" s="14">
        <f t="shared" si="11"/>
        <v>406</v>
      </c>
      <c r="B408" s="14" t="s">
        <v>1570</v>
      </c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</row>
    <row r="409" spans="1:20" x14ac:dyDescent="0.25">
      <c r="A409" s="14">
        <f t="shared" si="11"/>
        <v>407</v>
      </c>
      <c r="B409" s="14" t="s">
        <v>1571</v>
      </c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</row>
    <row r="410" spans="1:20" x14ac:dyDescent="0.25">
      <c r="A410" s="14">
        <f t="shared" si="11"/>
        <v>408</v>
      </c>
      <c r="B410" s="14" t="s">
        <v>1572</v>
      </c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</row>
    <row r="411" spans="1:20" x14ac:dyDescent="0.25">
      <c r="A411" s="14">
        <f t="shared" si="11"/>
        <v>409</v>
      </c>
      <c r="B411" s="14" t="s">
        <v>1573</v>
      </c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</row>
    <row r="412" spans="1:20" x14ac:dyDescent="0.25">
      <c r="A412" s="14">
        <f t="shared" si="11"/>
        <v>410</v>
      </c>
      <c r="B412" s="14" t="s">
        <v>1574</v>
      </c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</row>
    <row r="413" spans="1:20" x14ac:dyDescent="0.25">
      <c r="A413" s="14">
        <f t="shared" si="11"/>
        <v>411</v>
      </c>
      <c r="B413" s="14" t="s">
        <v>1575</v>
      </c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</row>
    <row r="414" spans="1:20" x14ac:dyDescent="0.25">
      <c r="A414" s="14">
        <f t="shared" si="11"/>
        <v>412</v>
      </c>
      <c r="B414" s="14" t="s">
        <v>1576</v>
      </c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</row>
    <row r="415" spans="1:20" x14ac:dyDescent="0.25">
      <c r="A415" s="14">
        <f t="shared" si="11"/>
        <v>413</v>
      </c>
      <c r="B415" s="14" t="s">
        <v>1577</v>
      </c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</row>
    <row r="416" spans="1:20" x14ac:dyDescent="0.25">
      <c r="A416" s="14">
        <f t="shared" si="11"/>
        <v>414</v>
      </c>
      <c r="B416" s="14" t="s">
        <v>1578</v>
      </c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</row>
    <row r="417" spans="1:20" x14ac:dyDescent="0.25">
      <c r="A417" s="14">
        <f t="shared" si="11"/>
        <v>415</v>
      </c>
      <c r="B417" s="14" t="s">
        <v>1579</v>
      </c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</row>
    <row r="418" spans="1:20" x14ac:dyDescent="0.25">
      <c r="A418" s="14">
        <f t="shared" si="11"/>
        <v>416</v>
      </c>
      <c r="B418" s="14" t="s">
        <v>1580</v>
      </c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</row>
    <row r="419" spans="1:20" x14ac:dyDescent="0.25">
      <c r="A419" s="14">
        <f t="shared" si="11"/>
        <v>417</v>
      </c>
      <c r="B419" s="14" t="s">
        <v>1581</v>
      </c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 t="s">
        <v>769</v>
      </c>
      <c r="T419" s="14"/>
    </row>
    <row r="420" spans="1:20" x14ac:dyDescent="0.25">
      <c r="A420" s="14">
        <f t="shared" si="11"/>
        <v>418</v>
      </c>
      <c r="B420" s="14" t="s">
        <v>1582</v>
      </c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</row>
    <row r="421" spans="1:20" x14ac:dyDescent="0.25">
      <c r="A421" s="14">
        <f t="shared" si="11"/>
        <v>419</v>
      </c>
      <c r="B421" s="14" t="s">
        <v>1583</v>
      </c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</row>
    <row r="422" spans="1:20" x14ac:dyDescent="0.25">
      <c r="A422" s="14">
        <f t="shared" si="11"/>
        <v>420</v>
      </c>
      <c r="B422" s="14" t="s">
        <v>1584</v>
      </c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</row>
    <row r="423" spans="1:20" x14ac:dyDescent="0.25">
      <c r="A423" s="14">
        <f t="shared" si="11"/>
        <v>421</v>
      </c>
      <c r="B423" s="14" t="s">
        <v>1585</v>
      </c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</row>
    <row r="424" spans="1:20" x14ac:dyDescent="0.25">
      <c r="A424" s="14">
        <f t="shared" si="11"/>
        <v>422</v>
      </c>
      <c r="B424" s="14" t="s">
        <v>1586</v>
      </c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</row>
    <row r="425" spans="1:20" x14ac:dyDescent="0.25">
      <c r="A425" s="14">
        <f t="shared" si="11"/>
        <v>423</v>
      </c>
      <c r="B425" s="14" t="s">
        <v>1587</v>
      </c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</row>
    <row r="426" spans="1:20" x14ac:dyDescent="0.25">
      <c r="A426" s="14">
        <f t="shared" si="11"/>
        <v>424</v>
      </c>
      <c r="B426" s="14" t="s">
        <v>1588</v>
      </c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</row>
    <row r="427" spans="1:20" x14ac:dyDescent="0.25">
      <c r="A427" s="14">
        <f t="shared" si="11"/>
        <v>425</v>
      </c>
      <c r="B427" s="14" t="s">
        <v>1589</v>
      </c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</row>
    <row r="428" spans="1:20" x14ac:dyDescent="0.25">
      <c r="A428" s="14">
        <f t="shared" si="11"/>
        <v>426</v>
      </c>
      <c r="B428" s="14" t="s">
        <v>1590</v>
      </c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</row>
    <row r="429" spans="1:20" x14ac:dyDescent="0.25">
      <c r="A429" s="14">
        <f t="shared" si="11"/>
        <v>427</v>
      </c>
      <c r="B429" s="14" t="s">
        <v>1591</v>
      </c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</row>
    <row r="430" spans="1:20" x14ac:dyDescent="0.25">
      <c r="A430" s="14">
        <f t="shared" si="11"/>
        <v>428</v>
      </c>
      <c r="B430" s="14" t="s">
        <v>1592</v>
      </c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</row>
    <row r="431" spans="1:20" x14ac:dyDescent="0.25">
      <c r="A431" s="14">
        <f t="shared" si="11"/>
        <v>429</v>
      </c>
      <c r="B431" s="14" t="s">
        <v>1593</v>
      </c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</row>
    <row r="432" spans="1:20" x14ac:dyDescent="0.25">
      <c r="A432" s="14">
        <f t="shared" si="11"/>
        <v>430</v>
      </c>
      <c r="B432" s="14" t="s">
        <v>1594</v>
      </c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</row>
    <row r="433" spans="1:20" x14ac:dyDescent="0.25">
      <c r="A433" s="14">
        <f t="shared" si="11"/>
        <v>431</v>
      </c>
      <c r="B433" s="14" t="s">
        <v>1595</v>
      </c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</row>
    <row r="434" spans="1:20" x14ac:dyDescent="0.25">
      <c r="A434" s="14">
        <f t="shared" si="11"/>
        <v>432</v>
      </c>
      <c r="B434" s="14" t="s">
        <v>1596</v>
      </c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 t="s">
        <v>770</v>
      </c>
      <c r="T434" s="14"/>
    </row>
    <row r="435" spans="1:20" x14ac:dyDescent="0.25">
      <c r="A435" s="14">
        <f t="shared" si="11"/>
        <v>433</v>
      </c>
      <c r="B435" s="14" t="s">
        <v>1597</v>
      </c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</row>
    <row r="436" spans="1:20" x14ac:dyDescent="0.25">
      <c r="A436" s="14">
        <f t="shared" si="11"/>
        <v>434</v>
      </c>
      <c r="B436" s="14" t="s">
        <v>1598</v>
      </c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</row>
    <row r="437" spans="1:20" x14ac:dyDescent="0.25">
      <c r="A437" s="14">
        <f t="shared" si="11"/>
        <v>435</v>
      </c>
      <c r="B437" s="14" t="s">
        <v>1599</v>
      </c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</row>
    <row r="438" spans="1:20" x14ac:dyDescent="0.25">
      <c r="A438" s="14">
        <f t="shared" si="11"/>
        <v>436</v>
      </c>
      <c r="B438" s="14" t="s">
        <v>1600</v>
      </c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</row>
    <row r="439" spans="1:20" x14ac:dyDescent="0.25">
      <c r="A439" s="14">
        <f t="shared" si="11"/>
        <v>437</v>
      </c>
      <c r="B439" s="14" t="s">
        <v>1601</v>
      </c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</row>
    <row r="440" spans="1:20" x14ac:dyDescent="0.25">
      <c r="A440" s="14">
        <f t="shared" si="11"/>
        <v>438</v>
      </c>
      <c r="B440" s="14" t="s">
        <v>1602</v>
      </c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</row>
    <row r="441" spans="1:20" x14ac:dyDescent="0.25">
      <c r="A441" s="14">
        <f t="shared" si="11"/>
        <v>439</v>
      </c>
      <c r="B441" s="14" t="s">
        <v>1603</v>
      </c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 t="s">
        <v>771</v>
      </c>
      <c r="T441" s="14"/>
    </row>
    <row r="442" spans="1:20" x14ac:dyDescent="0.25">
      <c r="A442" s="14">
        <f t="shared" si="11"/>
        <v>440</v>
      </c>
      <c r="B442" s="14" t="s">
        <v>1604</v>
      </c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 t="s">
        <v>772</v>
      </c>
      <c r="T442" s="14"/>
    </row>
    <row r="443" spans="1:20" x14ac:dyDescent="0.25">
      <c r="A443" s="14">
        <f t="shared" si="11"/>
        <v>441</v>
      </c>
      <c r="B443" s="14" t="s">
        <v>1605</v>
      </c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 t="s">
        <v>773</v>
      </c>
      <c r="T443" s="14"/>
    </row>
    <row r="444" spans="1:20" x14ac:dyDescent="0.25">
      <c r="A444" s="14">
        <f t="shared" si="11"/>
        <v>442</v>
      </c>
      <c r="B444" s="14" t="s">
        <v>1606</v>
      </c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</row>
    <row r="445" spans="1:20" x14ac:dyDescent="0.25">
      <c r="A445" s="14">
        <f t="shared" si="11"/>
        <v>443</v>
      </c>
      <c r="B445" s="14" t="s">
        <v>1607</v>
      </c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 t="s">
        <v>774</v>
      </c>
      <c r="T445" s="14"/>
    </row>
    <row r="446" spans="1:20" x14ac:dyDescent="0.25">
      <c r="A446" s="14">
        <f t="shared" si="11"/>
        <v>444</v>
      </c>
      <c r="B446" s="14" t="s">
        <v>1608</v>
      </c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 t="s">
        <v>775</v>
      </c>
      <c r="T446" s="14"/>
    </row>
    <row r="447" spans="1:20" x14ac:dyDescent="0.25">
      <c r="A447" s="14">
        <f t="shared" si="11"/>
        <v>445</v>
      </c>
      <c r="B447" s="14" t="s">
        <v>1609</v>
      </c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 t="s">
        <v>776</v>
      </c>
      <c r="T447" s="14"/>
    </row>
    <row r="448" spans="1:20" x14ac:dyDescent="0.25">
      <c r="A448" s="14">
        <f t="shared" si="11"/>
        <v>446</v>
      </c>
      <c r="B448" s="14" t="s">
        <v>1610</v>
      </c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</row>
    <row r="449" spans="1:20" x14ac:dyDescent="0.25">
      <c r="A449" s="14">
        <f t="shared" si="11"/>
        <v>447</v>
      </c>
      <c r="B449" s="14" t="s">
        <v>1611</v>
      </c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 t="s">
        <v>777</v>
      </c>
      <c r="T449" s="14"/>
    </row>
    <row r="450" spans="1:20" x14ac:dyDescent="0.25">
      <c r="A450" s="14">
        <f t="shared" si="11"/>
        <v>448</v>
      </c>
      <c r="B450" s="14" t="s">
        <v>1612</v>
      </c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 t="s">
        <v>778</v>
      </c>
      <c r="T450" s="14"/>
    </row>
    <row r="451" spans="1:20" x14ac:dyDescent="0.25">
      <c r="A451" s="14">
        <f t="shared" si="11"/>
        <v>449</v>
      </c>
      <c r="B451" s="14" t="s">
        <v>1613</v>
      </c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</row>
    <row r="452" spans="1:20" x14ac:dyDescent="0.25">
      <c r="A452" s="14">
        <f t="shared" ref="A452:A515" si="12">A451+1</f>
        <v>450</v>
      </c>
      <c r="B452" s="14" t="s">
        <v>1614</v>
      </c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</row>
    <row r="453" spans="1:20" x14ac:dyDescent="0.25">
      <c r="A453" s="14">
        <f t="shared" si="12"/>
        <v>451</v>
      </c>
      <c r="B453" s="14" t="s">
        <v>1615</v>
      </c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</row>
    <row r="454" spans="1:20" x14ac:dyDescent="0.25">
      <c r="A454" s="14">
        <f t="shared" si="12"/>
        <v>452</v>
      </c>
      <c r="B454" s="14" t="s">
        <v>1616</v>
      </c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</row>
    <row r="455" spans="1:20" x14ac:dyDescent="0.25">
      <c r="A455" s="14">
        <f t="shared" si="12"/>
        <v>453</v>
      </c>
      <c r="B455" s="14" t="s">
        <v>1617</v>
      </c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</row>
    <row r="456" spans="1:20" x14ac:dyDescent="0.25">
      <c r="A456" s="14">
        <f t="shared" si="12"/>
        <v>454</v>
      </c>
      <c r="B456" s="14" t="s">
        <v>1618</v>
      </c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 t="s">
        <v>779</v>
      </c>
      <c r="T456" s="14"/>
    </row>
    <row r="457" spans="1:20" x14ac:dyDescent="0.25">
      <c r="A457" s="14">
        <f t="shared" si="12"/>
        <v>455</v>
      </c>
      <c r="B457" s="14" t="s">
        <v>1619</v>
      </c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</row>
    <row r="458" spans="1:20" x14ac:dyDescent="0.25">
      <c r="A458" s="14">
        <f t="shared" si="12"/>
        <v>456</v>
      </c>
      <c r="B458" s="14" t="s">
        <v>1620</v>
      </c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</row>
    <row r="459" spans="1:20" x14ac:dyDescent="0.25">
      <c r="A459" s="14">
        <f t="shared" si="12"/>
        <v>457</v>
      </c>
      <c r="B459" s="14" t="s">
        <v>1621</v>
      </c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</row>
    <row r="460" spans="1:20" x14ac:dyDescent="0.25">
      <c r="A460" s="14">
        <f t="shared" si="12"/>
        <v>458</v>
      </c>
      <c r="B460" s="14" t="s">
        <v>1622</v>
      </c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 t="s">
        <v>780</v>
      </c>
      <c r="T460" s="14"/>
    </row>
    <row r="461" spans="1:20" x14ac:dyDescent="0.25">
      <c r="A461" s="14">
        <f t="shared" si="12"/>
        <v>459</v>
      </c>
      <c r="B461" s="14" t="s">
        <v>1623</v>
      </c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 t="s">
        <v>781</v>
      </c>
      <c r="T461" s="14"/>
    </row>
    <row r="462" spans="1:20" x14ac:dyDescent="0.25">
      <c r="A462" s="14">
        <f t="shared" si="12"/>
        <v>460</v>
      </c>
      <c r="B462" s="14" t="s">
        <v>1624</v>
      </c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 t="s">
        <v>782</v>
      </c>
      <c r="T462" s="14"/>
    </row>
    <row r="463" spans="1:20" x14ac:dyDescent="0.25">
      <c r="A463" s="14">
        <f t="shared" si="12"/>
        <v>461</v>
      </c>
      <c r="B463" s="14" t="s">
        <v>1625</v>
      </c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 t="s">
        <v>783</v>
      </c>
      <c r="T463" s="14"/>
    </row>
    <row r="464" spans="1:20" x14ac:dyDescent="0.25">
      <c r="A464" s="14">
        <f t="shared" si="12"/>
        <v>462</v>
      </c>
      <c r="B464" s="14" t="s">
        <v>1626</v>
      </c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 t="s">
        <v>784</v>
      </c>
      <c r="T464" s="14"/>
    </row>
    <row r="465" spans="1:20" x14ac:dyDescent="0.25">
      <c r="A465" s="14">
        <f t="shared" si="12"/>
        <v>463</v>
      </c>
      <c r="B465" s="14" t="s">
        <v>1627</v>
      </c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 t="s">
        <v>785</v>
      </c>
      <c r="T465" s="14"/>
    </row>
    <row r="466" spans="1:20" x14ac:dyDescent="0.25">
      <c r="A466" s="14">
        <f t="shared" si="12"/>
        <v>464</v>
      </c>
      <c r="B466" s="14" t="s">
        <v>1628</v>
      </c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 t="s">
        <v>786</v>
      </c>
      <c r="T466" s="14"/>
    </row>
    <row r="467" spans="1:20" x14ac:dyDescent="0.25">
      <c r="A467" s="14">
        <f t="shared" si="12"/>
        <v>465</v>
      </c>
      <c r="B467" s="14" t="s">
        <v>1629</v>
      </c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 t="s">
        <v>787</v>
      </c>
      <c r="T467" s="14"/>
    </row>
    <row r="468" spans="1:20" x14ac:dyDescent="0.25">
      <c r="A468" s="14">
        <f t="shared" si="12"/>
        <v>466</v>
      </c>
      <c r="B468" s="14" t="s">
        <v>1630</v>
      </c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 t="s">
        <v>788</v>
      </c>
      <c r="T468" s="14"/>
    </row>
    <row r="469" spans="1:20" x14ac:dyDescent="0.25">
      <c r="A469" s="14">
        <f t="shared" si="12"/>
        <v>467</v>
      </c>
      <c r="B469" s="14" t="s">
        <v>1631</v>
      </c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 t="s">
        <v>789</v>
      </c>
      <c r="T469" s="14"/>
    </row>
    <row r="470" spans="1:20" x14ac:dyDescent="0.25">
      <c r="A470" s="14">
        <f t="shared" si="12"/>
        <v>468</v>
      </c>
      <c r="B470" s="14" t="s">
        <v>1632</v>
      </c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 t="s">
        <v>790</v>
      </c>
      <c r="T470" s="14"/>
    </row>
    <row r="471" spans="1:20" x14ac:dyDescent="0.25">
      <c r="A471" s="14">
        <f t="shared" si="12"/>
        <v>469</v>
      </c>
      <c r="B471" s="14" t="s">
        <v>1633</v>
      </c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 t="s">
        <v>791</v>
      </c>
      <c r="T471" s="14"/>
    </row>
    <row r="472" spans="1:20" x14ac:dyDescent="0.25">
      <c r="A472" s="14">
        <f t="shared" si="12"/>
        <v>470</v>
      </c>
      <c r="B472" s="14" t="s">
        <v>1634</v>
      </c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 t="s">
        <v>792</v>
      </c>
      <c r="T472" s="14"/>
    </row>
    <row r="473" spans="1:20" x14ac:dyDescent="0.25">
      <c r="A473" s="14">
        <f t="shared" si="12"/>
        <v>471</v>
      </c>
      <c r="B473" s="14" t="s">
        <v>1635</v>
      </c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 t="s">
        <v>793</v>
      </c>
      <c r="T473" s="14"/>
    </row>
    <row r="474" spans="1:20" x14ac:dyDescent="0.25">
      <c r="A474" s="14">
        <f t="shared" si="12"/>
        <v>472</v>
      </c>
      <c r="B474" s="14" t="s">
        <v>1636</v>
      </c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 t="s">
        <v>794</v>
      </c>
      <c r="T474" s="14"/>
    </row>
    <row r="475" spans="1:20" x14ac:dyDescent="0.25">
      <c r="A475" s="14">
        <f t="shared" si="12"/>
        <v>473</v>
      </c>
      <c r="B475" s="14" t="s">
        <v>1637</v>
      </c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 t="s">
        <v>795</v>
      </c>
      <c r="T475" s="14" t="s">
        <v>796</v>
      </c>
    </row>
    <row r="476" spans="1:20" x14ac:dyDescent="0.25">
      <c r="A476" s="14">
        <f t="shared" si="12"/>
        <v>474</v>
      </c>
      <c r="B476" s="14" t="s">
        <v>1638</v>
      </c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 t="s">
        <v>797</v>
      </c>
      <c r="T476" s="14"/>
    </row>
    <row r="477" spans="1:20" x14ac:dyDescent="0.25">
      <c r="A477" s="14">
        <f t="shared" si="12"/>
        <v>475</v>
      </c>
      <c r="B477" s="14" t="s">
        <v>1639</v>
      </c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 t="s">
        <v>798</v>
      </c>
      <c r="T477" s="14"/>
    </row>
    <row r="478" spans="1:20" x14ac:dyDescent="0.25">
      <c r="A478" s="14">
        <f t="shared" si="12"/>
        <v>476</v>
      </c>
      <c r="B478" s="14" t="s">
        <v>1640</v>
      </c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 t="s">
        <v>799</v>
      </c>
      <c r="T478" s="14"/>
    </row>
    <row r="479" spans="1:20" x14ac:dyDescent="0.25">
      <c r="A479" s="14">
        <f t="shared" si="12"/>
        <v>477</v>
      </c>
      <c r="B479" s="14" t="s">
        <v>1641</v>
      </c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 t="s">
        <v>800</v>
      </c>
      <c r="T479" s="14"/>
    </row>
    <row r="480" spans="1:20" x14ac:dyDescent="0.25">
      <c r="A480" s="14">
        <f t="shared" si="12"/>
        <v>478</v>
      </c>
      <c r="B480" s="14" t="s">
        <v>1642</v>
      </c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 t="s">
        <v>801</v>
      </c>
      <c r="T480" s="14" t="s">
        <v>796</v>
      </c>
    </row>
    <row r="481" spans="1:20" x14ac:dyDescent="0.25">
      <c r="A481" s="14">
        <f t="shared" si="12"/>
        <v>479</v>
      </c>
      <c r="B481" s="14" t="s">
        <v>1643</v>
      </c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 t="s">
        <v>802</v>
      </c>
      <c r="T481" s="14"/>
    </row>
    <row r="482" spans="1:20" x14ac:dyDescent="0.25">
      <c r="A482" s="14">
        <f t="shared" si="12"/>
        <v>480</v>
      </c>
      <c r="B482" s="14" t="s">
        <v>1644</v>
      </c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 t="s">
        <v>803</v>
      </c>
      <c r="T482" s="14"/>
    </row>
    <row r="483" spans="1:20" x14ac:dyDescent="0.25">
      <c r="A483" s="14">
        <f t="shared" si="12"/>
        <v>481</v>
      </c>
      <c r="B483" s="14" t="s">
        <v>1645</v>
      </c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 t="s">
        <v>804</v>
      </c>
      <c r="T483" s="14"/>
    </row>
    <row r="484" spans="1:20" x14ac:dyDescent="0.25">
      <c r="A484" s="14">
        <f t="shared" si="12"/>
        <v>482</v>
      </c>
      <c r="B484" s="14" t="s">
        <v>1646</v>
      </c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 t="s">
        <v>805</v>
      </c>
      <c r="T484" s="14"/>
    </row>
    <row r="485" spans="1:20" x14ac:dyDescent="0.25">
      <c r="A485" s="14">
        <f t="shared" si="12"/>
        <v>483</v>
      </c>
      <c r="B485" s="14" t="s">
        <v>1647</v>
      </c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 t="s">
        <v>806</v>
      </c>
      <c r="T485" s="14" t="s">
        <v>796</v>
      </c>
    </row>
    <row r="486" spans="1:20" x14ac:dyDescent="0.25">
      <c r="A486" s="14">
        <f t="shared" si="12"/>
        <v>484</v>
      </c>
      <c r="B486" s="14" t="s">
        <v>1648</v>
      </c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 t="s">
        <v>807</v>
      </c>
      <c r="T486" s="14"/>
    </row>
    <row r="487" spans="1:20" x14ac:dyDescent="0.25">
      <c r="A487" s="14">
        <f t="shared" si="12"/>
        <v>485</v>
      </c>
      <c r="B487" s="14" t="s">
        <v>1649</v>
      </c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 t="s">
        <v>807</v>
      </c>
      <c r="T487" s="14"/>
    </row>
    <row r="488" spans="1:20" x14ac:dyDescent="0.25">
      <c r="A488" s="14">
        <f t="shared" si="12"/>
        <v>486</v>
      </c>
      <c r="B488" s="14" t="s">
        <v>1650</v>
      </c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 t="s">
        <v>807</v>
      </c>
      <c r="T488" s="14"/>
    </row>
    <row r="489" spans="1:20" x14ac:dyDescent="0.25">
      <c r="A489" s="14">
        <f t="shared" si="12"/>
        <v>487</v>
      </c>
      <c r="B489" s="14" t="s">
        <v>1651</v>
      </c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 t="s">
        <v>808</v>
      </c>
      <c r="T489" s="14" t="s">
        <v>796</v>
      </c>
    </row>
    <row r="490" spans="1:20" x14ac:dyDescent="0.25">
      <c r="A490" s="14">
        <f t="shared" si="12"/>
        <v>488</v>
      </c>
      <c r="B490" s="14" t="s">
        <v>1652</v>
      </c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 t="s">
        <v>809</v>
      </c>
      <c r="T490" s="14"/>
    </row>
    <row r="491" spans="1:20" x14ac:dyDescent="0.25">
      <c r="A491" s="14">
        <f t="shared" si="12"/>
        <v>489</v>
      </c>
      <c r="B491" s="14" t="s">
        <v>1653</v>
      </c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 t="s">
        <v>810</v>
      </c>
      <c r="T491" s="14"/>
    </row>
    <row r="492" spans="1:20" x14ac:dyDescent="0.25">
      <c r="A492" s="14">
        <f t="shared" si="12"/>
        <v>490</v>
      </c>
      <c r="B492" s="14" t="s">
        <v>1654</v>
      </c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 t="s">
        <v>811</v>
      </c>
      <c r="T492" s="14"/>
    </row>
    <row r="493" spans="1:20" x14ac:dyDescent="0.25">
      <c r="A493" s="14">
        <f t="shared" si="12"/>
        <v>491</v>
      </c>
      <c r="B493" s="14" t="s">
        <v>1655</v>
      </c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 t="s">
        <v>812</v>
      </c>
      <c r="T493" s="14"/>
    </row>
    <row r="494" spans="1:20" x14ac:dyDescent="0.25">
      <c r="A494" s="14">
        <f t="shared" si="12"/>
        <v>492</v>
      </c>
      <c r="B494" s="14" t="s">
        <v>1656</v>
      </c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 t="s">
        <v>813</v>
      </c>
      <c r="T494" s="14"/>
    </row>
    <row r="495" spans="1:20" x14ac:dyDescent="0.25">
      <c r="A495" s="14">
        <f t="shared" si="12"/>
        <v>493</v>
      </c>
      <c r="B495" s="14" t="s">
        <v>1657</v>
      </c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</row>
    <row r="496" spans="1:20" x14ac:dyDescent="0.25">
      <c r="A496" s="14">
        <f t="shared" si="12"/>
        <v>494</v>
      </c>
      <c r="B496" s="14" t="s">
        <v>1658</v>
      </c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</row>
    <row r="497" spans="1:20" x14ac:dyDescent="0.25">
      <c r="A497" s="14">
        <f t="shared" si="12"/>
        <v>495</v>
      </c>
      <c r="B497" s="14" t="s">
        <v>1659</v>
      </c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 t="s">
        <v>814</v>
      </c>
      <c r="T497" s="14"/>
    </row>
    <row r="498" spans="1:20" x14ac:dyDescent="0.25">
      <c r="A498" s="14">
        <f t="shared" si="12"/>
        <v>496</v>
      </c>
      <c r="B498" s="14" t="s">
        <v>1660</v>
      </c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 t="s">
        <v>815</v>
      </c>
      <c r="T498" s="14"/>
    </row>
    <row r="499" spans="1:20" x14ac:dyDescent="0.25">
      <c r="A499" s="14">
        <f t="shared" si="12"/>
        <v>497</v>
      </c>
      <c r="B499" s="14" t="s">
        <v>1661</v>
      </c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 t="s">
        <v>816</v>
      </c>
      <c r="T499" s="14"/>
    </row>
    <row r="500" spans="1:20" x14ac:dyDescent="0.25">
      <c r="A500" s="14">
        <f t="shared" si="12"/>
        <v>498</v>
      </c>
      <c r="B500" s="14" t="s">
        <v>1662</v>
      </c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 t="s">
        <v>817</v>
      </c>
      <c r="T500" s="14"/>
    </row>
    <row r="501" spans="1:20" x14ac:dyDescent="0.25">
      <c r="A501" s="14">
        <f t="shared" si="12"/>
        <v>499</v>
      </c>
      <c r="B501" s="14" t="s">
        <v>1663</v>
      </c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 t="s">
        <v>690</v>
      </c>
      <c r="T501" s="14"/>
    </row>
    <row r="502" spans="1:20" x14ac:dyDescent="0.25">
      <c r="A502" s="14">
        <f t="shared" si="12"/>
        <v>500</v>
      </c>
      <c r="B502" s="14" t="s">
        <v>1664</v>
      </c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 t="s">
        <v>689</v>
      </c>
      <c r="T502" s="14"/>
    </row>
    <row r="503" spans="1:20" x14ac:dyDescent="0.25">
      <c r="A503" s="14">
        <f t="shared" si="12"/>
        <v>501</v>
      </c>
      <c r="B503" s="14" t="s">
        <v>1665</v>
      </c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 t="s">
        <v>688</v>
      </c>
      <c r="T503" s="14"/>
    </row>
    <row r="504" spans="1:20" x14ac:dyDescent="0.25">
      <c r="A504" s="14">
        <f t="shared" si="12"/>
        <v>502</v>
      </c>
      <c r="B504" s="14" t="s">
        <v>1666</v>
      </c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 t="s">
        <v>818</v>
      </c>
      <c r="T504" s="14"/>
    </row>
    <row r="505" spans="1:20" x14ac:dyDescent="0.25">
      <c r="A505" s="14">
        <f t="shared" si="12"/>
        <v>503</v>
      </c>
      <c r="B505" s="14" t="s">
        <v>1667</v>
      </c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 t="s">
        <v>819</v>
      </c>
      <c r="T505" s="14"/>
    </row>
    <row r="506" spans="1:20" x14ac:dyDescent="0.25">
      <c r="A506" s="14">
        <f t="shared" si="12"/>
        <v>504</v>
      </c>
      <c r="B506" s="14" t="s">
        <v>1668</v>
      </c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 t="s">
        <v>820</v>
      </c>
      <c r="T506" s="14"/>
    </row>
    <row r="507" spans="1:20" x14ac:dyDescent="0.25">
      <c r="A507" s="14">
        <f t="shared" si="12"/>
        <v>505</v>
      </c>
      <c r="B507" s="14" t="s">
        <v>1669</v>
      </c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 t="s">
        <v>821</v>
      </c>
      <c r="T507" s="14"/>
    </row>
    <row r="508" spans="1:20" x14ac:dyDescent="0.25">
      <c r="A508" s="14">
        <f t="shared" si="12"/>
        <v>506</v>
      </c>
      <c r="B508" s="14" t="s">
        <v>1670</v>
      </c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 t="s">
        <v>822</v>
      </c>
      <c r="T508" s="14"/>
    </row>
    <row r="509" spans="1:20" x14ac:dyDescent="0.25">
      <c r="A509" s="14">
        <f t="shared" si="12"/>
        <v>507</v>
      </c>
      <c r="B509" s="14" t="s">
        <v>1671</v>
      </c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 t="s">
        <v>823</v>
      </c>
      <c r="T509" s="14"/>
    </row>
    <row r="510" spans="1:20" x14ac:dyDescent="0.25">
      <c r="A510" s="14">
        <f t="shared" si="12"/>
        <v>508</v>
      </c>
      <c r="B510" s="14" t="s">
        <v>1672</v>
      </c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 t="s">
        <v>824</v>
      </c>
      <c r="T510" s="14"/>
    </row>
    <row r="511" spans="1:20" x14ac:dyDescent="0.25">
      <c r="A511" s="14">
        <f t="shared" si="12"/>
        <v>509</v>
      </c>
      <c r="B511" s="14" t="s">
        <v>1673</v>
      </c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 t="s">
        <v>825</v>
      </c>
      <c r="T511" s="14"/>
    </row>
    <row r="512" spans="1:20" x14ac:dyDescent="0.25">
      <c r="A512" s="14">
        <f t="shared" si="12"/>
        <v>510</v>
      </c>
      <c r="B512" s="14" t="s">
        <v>1674</v>
      </c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 t="s">
        <v>826</v>
      </c>
      <c r="T512" s="14"/>
    </row>
    <row r="513" spans="1:20" x14ac:dyDescent="0.25">
      <c r="A513" s="14">
        <f t="shared" si="12"/>
        <v>511</v>
      </c>
      <c r="B513" s="14" t="s">
        <v>1675</v>
      </c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 t="s">
        <v>827</v>
      </c>
      <c r="T513" s="14"/>
    </row>
    <row r="514" spans="1:20" x14ac:dyDescent="0.25">
      <c r="A514" s="14">
        <f t="shared" si="12"/>
        <v>512</v>
      </c>
      <c r="B514" s="14" t="s">
        <v>1676</v>
      </c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 t="s">
        <v>828</v>
      </c>
      <c r="T514" s="14"/>
    </row>
    <row r="515" spans="1:20" x14ac:dyDescent="0.25">
      <c r="A515" s="14">
        <f t="shared" si="12"/>
        <v>513</v>
      </c>
      <c r="B515" s="14" t="s">
        <v>1677</v>
      </c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 t="s">
        <v>829</v>
      </c>
      <c r="T515" s="14"/>
    </row>
    <row r="516" spans="1:20" x14ac:dyDescent="0.25">
      <c r="A516" s="14">
        <f t="shared" ref="A516:A579" si="13">A515+1</f>
        <v>514</v>
      </c>
      <c r="B516" s="14" t="s">
        <v>1678</v>
      </c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 t="s">
        <v>830</v>
      </c>
      <c r="T516" s="14"/>
    </row>
    <row r="517" spans="1:20" x14ac:dyDescent="0.25">
      <c r="A517" s="14">
        <f t="shared" si="13"/>
        <v>515</v>
      </c>
      <c r="B517" s="14" t="s">
        <v>1679</v>
      </c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 t="s">
        <v>831</v>
      </c>
      <c r="T517" s="14"/>
    </row>
    <row r="518" spans="1:20" x14ac:dyDescent="0.25">
      <c r="A518" s="14">
        <f t="shared" si="13"/>
        <v>516</v>
      </c>
      <c r="B518" s="14" t="s">
        <v>1680</v>
      </c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 t="s">
        <v>832</v>
      </c>
      <c r="T518" s="14"/>
    </row>
    <row r="519" spans="1:20" x14ac:dyDescent="0.25">
      <c r="A519" s="14">
        <f t="shared" si="13"/>
        <v>517</v>
      </c>
      <c r="B519" s="14" t="s">
        <v>1681</v>
      </c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 t="s">
        <v>833</v>
      </c>
      <c r="T519" s="14"/>
    </row>
    <row r="520" spans="1:20" x14ac:dyDescent="0.25">
      <c r="A520" s="14">
        <f t="shared" si="13"/>
        <v>518</v>
      </c>
      <c r="B520" s="14" t="s">
        <v>1682</v>
      </c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 t="s">
        <v>834</v>
      </c>
      <c r="T520" s="14"/>
    </row>
    <row r="521" spans="1:20" x14ac:dyDescent="0.25">
      <c r="A521" s="14">
        <f t="shared" si="13"/>
        <v>519</v>
      </c>
      <c r="B521" s="14" t="s">
        <v>1683</v>
      </c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 t="s">
        <v>835</v>
      </c>
      <c r="T521" s="14"/>
    </row>
    <row r="522" spans="1:20" x14ac:dyDescent="0.25">
      <c r="A522" s="14">
        <f t="shared" si="13"/>
        <v>520</v>
      </c>
      <c r="B522" s="14" t="s">
        <v>1684</v>
      </c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 t="s">
        <v>836</v>
      </c>
      <c r="T522" s="14"/>
    </row>
    <row r="523" spans="1:20" x14ac:dyDescent="0.25">
      <c r="A523" s="14">
        <f t="shared" si="13"/>
        <v>521</v>
      </c>
      <c r="B523" s="14" t="s">
        <v>1685</v>
      </c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 t="s">
        <v>837</v>
      </c>
      <c r="T523" s="14"/>
    </row>
    <row r="524" spans="1:20" x14ac:dyDescent="0.25">
      <c r="A524" s="14">
        <f t="shared" si="13"/>
        <v>522</v>
      </c>
      <c r="B524" s="14" t="s">
        <v>1686</v>
      </c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 t="s">
        <v>838</v>
      </c>
      <c r="T524" s="14"/>
    </row>
    <row r="525" spans="1:20" x14ac:dyDescent="0.25">
      <c r="A525" s="14">
        <f t="shared" si="13"/>
        <v>523</v>
      </c>
      <c r="B525" s="14" t="s">
        <v>1687</v>
      </c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 t="s">
        <v>839</v>
      </c>
      <c r="T525" s="14"/>
    </row>
    <row r="526" spans="1:20" x14ac:dyDescent="0.25">
      <c r="A526" s="14">
        <f t="shared" si="13"/>
        <v>524</v>
      </c>
      <c r="B526" s="14" t="s">
        <v>1688</v>
      </c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 t="s">
        <v>840</v>
      </c>
      <c r="T526" s="14"/>
    </row>
    <row r="527" spans="1:20" x14ac:dyDescent="0.25">
      <c r="A527" s="14">
        <f t="shared" si="13"/>
        <v>525</v>
      </c>
      <c r="B527" s="14" t="s">
        <v>1689</v>
      </c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 t="s">
        <v>841</v>
      </c>
      <c r="T527" s="14"/>
    </row>
    <row r="528" spans="1:20" x14ac:dyDescent="0.25">
      <c r="A528" s="14">
        <f t="shared" si="13"/>
        <v>526</v>
      </c>
      <c r="B528" s="14" t="s">
        <v>1690</v>
      </c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 t="s">
        <v>842</v>
      </c>
      <c r="T528" s="14"/>
    </row>
    <row r="529" spans="1:20" x14ac:dyDescent="0.25">
      <c r="A529" s="14">
        <f t="shared" si="13"/>
        <v>527</v>
      </c>
      <c r="B529" s="14" t="s">
        <v>1691</v>
      </c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 t="s">
        <v>843</v>
      </c>
      <c r="T529" s="14"/>
    </row>
    <row r="530" spans="1:20" x14ac:dyDescent="0.25">
      <c r="A530" s="14">
        <f t="shared" si="13"/>
        <v>528</v>
      </c>
      <c r="B530" s="14" t="s">
        <v>1692</v>
      </c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 t="s">
        <v>844</v>
      </c>
      <c r="T530" s="14"/>
    </row>
    <row r="531" spans="1:20" x14ac:dyDescent="0.25">
      <c r="A531" s="14">
        <f t="shared" si="13"/>
        <v>529</v>
      </c>
      <c r="B531" s="14" t="s">
        <v>1693</v>
      </c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 t="s">
        <v>845</v>
      </c>
      <c r="T531" s="14"/>
    </row>
    <row r="532" spans="1:20" x14ac:dyDescent="0.25">
      <c r="A532" s="14">
        <f t="shared" si="13"/>
        <v>530</v>
      </c>
      <c r="B532" s="14" t="s">
        <v>1694</v>
      </c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 t="s">
        <v>846</v>
      </c>
      <c r="T532" s="14"/>
    </row>
    <row r="533" spans="1:20" x14ac:dyDescent="0.25">
      <c r="A533" s="14">
        <f t="shared" si="13"/>
        <v>531</v>
      </c>
      <c r="B533" s="14" t="s">
        <v>1695</v>
      </c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 t="s">
        <v>847</v>
      </c>
      <c r="T533" s="14"/>
    </row>
    <row r="534" spans="1:20" x14ac:dyDescent="0.25">
      <c r="A534" s="14">
        <f t="shared" si="13"/>
        <v>532</v>
      </c>
      <c r="B534" s="14" t="s">
        <v>1696</v>
      </c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 t="s">
        <v>848</v>
      </c>
      <c r="T534" s="14"/>
    </row>
    <row r="535" spans="1:20" x14ac:dyDescent="0.25">
      <c r="A535" s="14">
        <f t="shared" si="13"/>
        <v>533</v>
      </c>
      <c r="B535" s="14" t="s">
        <v>1697</v>
      </c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 t="s">
        <v>849</v>
      </c>
      <c r="T535" s="14"/>
    </row>
    <row r="536" spans="1:20" x14ac:dyDescent="0.25">
      <c r="A536" s="14">
        <f t="shared" si="13"/>
        <v>534</v>
      </c>
      <c r="B536" s="14" t="s">
        <v>1698</v>
      </c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 t="s">
        <v>850</v>
      </c>
      <c r="T536" s="14"/>
    </row>
    <row r="537" spans="1:20" x14ac:dyDescent="0.25">
      <c r="A537" s="14">
        <f t="shared" si="13"/>
        <v>535</v>
      </c>
      <c r="B537" s="14" t="s">
        <v>1699</v>
      </c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 t="s">
        <v>851</v>
      </c>
      <c r="T537" s="14"/>
    </row>
    <row r="538" spans="1:20" x14ac:dyDescent="0.25">
      <c r="A538" s="14">
        <f t="shared" si="13"/>
        <v>536</v>
      </c>
      <c r="B538" s="14" t="s">
        <v>1700</v>
      </c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 t="s">
        <v>852</v>
      </c>
      <c r="T538" s="14"/>
    </row>
    <row r="539" spans="1:20" x14ac:dyDescent="0.25">
      <c r="A539" s="14">
        <f t="shared" si="13"/>
        <v>537</v>
      </c>
      <c r="B539" s="14" t="s">
        <v>1701</v>
      </c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 t="s">
        <v>853</v>
      </c>
      <c r="T539" s="14"/>
    </row>
    <row r="540" spans="1:20" x14ac:dyDescent="0.25">
      <c r="A540" s="14">
        <f t="shared" si="13"/>
        <v>538</v>
      </c>
      <c r="B540" s="14" t="s">
        <v>1702</v>
      </c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 t="s">
        <v>854</v>
      </c>
      <c r="T540" s="14"/>
    </row>
    <row r="541" spans="1:20" x14ac:dyDescent="0.25">
      <c r="A541" s="14">
        <f t="shared" si="13"/>
        <v>539</v>
      </c>
      <c r="B541" s="14" t="s">
        <v>1703</v>
      </c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 t="s">
        <v>855</v>
      </c>
      <c r="T541" s="14"/>
    </row>
    <row r="542" spans="1:20" x14ac:dyDescent="0.25">
      <c r="A542" s="14">
        <f t="shared" si="13"/>
        <v>540</v>
      </c>
      <c r="B542" s="14" t="s">
        <v>1704</v>
      </c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 t="s">
        <v>856</v>
      </c>
      <c r="T542" s="14"/>
    </row>
    <row r="543" spans="1:20" x14ac:dyDescent="0.25">
      <c r="A543" s="14">
        <f t="shared" si="13"/>
        <v>541</v>
      </c>
      <c r="B543" s="14" t="s">
        <v>1705</v>
      </c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 t="s">
        <v>857</v>
      </c>
      <c r="T543" s="14"/>
    </row>
    <row r="544" spans="1:20" x14ac:dyDescent="0.25">
      <c r="A544" s="14">
        <f t="shared" si="13"/>
        <v>542</v>
      </c>
      <c r="B544" s="14" t="s">
        <v>1706</v>
      </c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 t="s">
        <v>858</v>
      </c>
      <c r="T544" s="14"/>
    </row>
    <row r="545" spans="1:20" x14ac:dyDescent="0.25">
      <c r="A545" s="14">
        <f t="shared" si="13"/>
        <v>543</v>
      </c>
      <c r="B545" s="14" t="s">
        <v>1707</v>
      </c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 t="s">
        <v>859</v>
      </c>
      <c r="T545" s="14"/>
    </row>
    <row r="546" spans="1:20" x14ac:dyDescent="0.25">
      <c r="A546" s="14">
        <f t="shared" si="13"/>
        <v>544</v>
      </c>
      <c r="B546" s="14" t="s">
        <v>1708</v>
      </c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 t="s">
        <v>860</v>
      </c>
      <c r="T546" s="14"/>
    </row>
    <row r="547" spans="1:20" x14ac:dyDescent="0.25">
      <c r="A547" s="14">
        <f t="shared" si="13"/>
        <v>545</v>
      </c>
      <c r="B547" s="14" t="s">
        <v>1709</v>
      </c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 t="s">
        <v>861</v>
      </c>
      <c r="T547" s="14"/>
    </row>
    <row r="548" spans="1:20" x14ac:dyDescent="0.25">
      <c r="A548" s="14">
        <f t="shared" si="13"/>
        <v>546</v>
      </c>
      <c r="B548" s="14" t="s">
        <v>1710</v>
      </c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 t="s">
        <v>862</v>
      </c>
      <c r="T548" s="14"/>
    </row>
    <row r="549" spans="1:20" x14ac:dyDescent="0.25">
      <c r="A549" s="14">
        <f t="shared" si="13"/>
        <v>547</v>
      </c>
      <c r="B549" s="14" t="s">
        <v>1711</v>
      </c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 t="s">
        <v>863</v>
      </c>
      <c r="T549" s="14"/>
    </row>
    <row r="550" spans="1:20" x14ac:dyDescent="0.25">
      <c r="A550" s="14">
        <f t="shared" si="13"/>
        <v>548</v>
      </c>
      <c r="B550" s="14" t="s">
        <v>1712</v>
      </c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 t="s">
        <v>864</v>
      </c>
      <c r="T550" s="14"/>
    </row>
    <row r="551" spans="1:20" x14ac:dyDescent="0.25">
      <c r="A551" s="14">
        <f t="shared" si="13"/>
        <v>549</v>
      </c>
      <c r="B551" s="14" t="s">
        <v>1713</v>
      </c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 t="s">
        <v>865</v>
      </c>
      <c r="T551" s="14"/>
    </row>
    <row r="552" spans="1:20" x14ac:dyDescent="0.25">
      <c r="A552" s="14">
        <f t="shared" si="13"/>
        <v>550</v>
      </c>
      <c r="B552" s="14" t="s">
        <v>1714</v>
      </c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 t="s">
        <v>866</v>
      </c>
      <c r="T552" s="14"/>
    </row>
    <row r="553" spans="1:20" x14ac:dyDescent="0.25">
      <c r="A553" s="14">
        <f t="shared" si="13"/>
        <v>551</v>
      </c>
      <c r="B553" s="14" t="s">
        <v>1715</v>
      </c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 t="s">
        <v>867</v>
      </c>
      <c r="T553" s="14"/>
    </row>
    <row r="554" spans="1:20" x14ac:dyDescent="0.25">
      <c r="A554" s="14">
        <f t="shared" si="13"/>
        <v>552</v>
      </c>
      <c r="B554" s="14" t="s">
        <v>1716</v>
      </c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 t="s">
        <v>868</v>
      </c>
      <c r="T554" s="14"/>
    </row>
    <row r="555" spans="1:20" x14ac:dyDescent="0.25">
      <c r="A555" s="14">
        <f t="shared" si="13"/>
        <v>553</v>
      </c>
      <c r="B555" s="14" t="s">
        <v>1717</v>
      </c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 t="s">
        <v>869</v>
      </c>
      <c r="T555" s="14"/>
    </row>
    <row r="556" spans="1:20" x14ac:dyDescent="0.25">
      <c r="A556" s="14">
        <f t="shared" si="13"/>
        <v>554</v>
      </c>
      <c r="B556" s="14" t="s">
        <v>1718</v>
      </c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 t="s">
        <v>870</v>
      </c>
      <c r="T556" s="14"/>
    </row>
    <row r="557" spans="1:20" x14ac:dyDescent="0.25">
      <c r="A557" s="14">
        <f t="shared" si="13"/>
        <v>555</v>
      </c>
      <c r="B557" s="14" t="s">
        <v>1719</v>
      </c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 t="s">
        <v>871</v>
      </c>
      <c r="T557" s="14"/>
    </row>
    <row r="558" spans="1:20" x14ac:dyDescent="0.25">
      <c r="A558" s="14">
        <f t="shared" si="13"/>
        <v>556</v>
      </c>
      <c r="B558" s="14" t="s">
        <v>1720</v>
      </c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 t="s">
        <v>872</v>
      </c>
      <c r="T558" s="14"/>
    </row>
    <row r="559" spans="1:20" x14ac:dyDescent="0.25">
      <c r="A559" s="14">
        <f t="shared" si="13"/>
        <v>557</v>
      </c>
      <c r="B559" s="14" t="s">
        <v>1721</v>
      </c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 t="s">
        <v>873</v>
      </c>
      <c r="T559" s="14"/>
    </row>
    <row r="560" spans="1:20" x14ac:dyDescent="0.25">
      <c r="A560" s="14">
        <f t="shared" si="13"/>
        <v>558</v>
      </c>
      <c r="B560" s="14" t="s">
        <v>1722</v>
      </c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 t="s">
        <v>874</v>
      </c>
      <c r="T560" s="14"/>
    </row>
    <row r="561" spans="1:20" x14ac:dyDescent="0.25">
      <c r="A561" s="14">
        <f t="shared" si="13"/>
        <v>559</v>
      </c>
      <c r="B561" s="14" t="s">
        <v>1723</v>
      </c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 t="s">
        <v>875</v>
      </c>
      <c r="T561" s="14"/>
    </row>
    <row r="562" spans="1:20" x14ac:dyDescent="0.25">
      <c r="A562" s="14">
        <f t="shared" si="13"/>
        <v>560</v>
      </c>
      <c r="B562" s="14" t="s">
        <v>1724</v>
      </c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 t="s">
        <v>876</v>
      </c>
      <c r="T562" s="14"/>
    </row>
    <row r="563" spans="1:20" x14ac:dyDescent="0.25">
      <c r="A563" s="14">
        <f t="shared" si="13"/>
        <v>561</v>
      </c>
      <c r="B563" s="14" t="s">
        <v>1725</v>
      </c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 t="s">
        <v>877</v>
      </c>
      <c r="T563" s="14"/>
    </row>
    <row r="564" spans="1:20" x14ac:dyDescent="0.25">
      <c r="A564" s="14">
        <f t="shared" si="13"/>
        <v>562</v>
      </c>
      <c r="B564" s="14" t="s">
        <v>1726</v>
      </c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 t="s">
        <v>878</v>
      </c>
      <c r="T564" s="14"/>
    </row>
    <row r="565" spans="1:20" x14ac:dyDescent="0.25">
      <c r="A565" s="14">
        <f t="shared" si="13"/>
        <v>563</v>
      </c>
      <c r="B565" s="14" t="s">
        <v>1727</v>
      </c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 t="s">
        <v>879</v>
      </c>
      <c r="T565" s="14"/>
    </row>
    <row r="566" spans="1:20" x14ac:dyDescent="0.25">
      <c r="A566" s="14">
        <f t="shared" si="13"/>
        <v>564</v>
      </c>
      <c r="B566" s="14" t="s">
        <v>1728</v>
      </c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 t="s">
        <v>880</v>
      </c>
      <c r="T566" s="14"/>
    </row>
    <row r="567" spans="1:20" x14ac:dyDescent="0.25">
      <c r="A567" s="14">
        <f t="shared" si="13"/>
        <v>565</v>
      </c>
      <c r="B567" s="14" t="s">
        <v>1729</v>
      </c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 t="s">
        <v>881</v>
      </c>
      <c r="T567" s="14"/>
    </row>
    <row r="568" spans="1:20" x14ac:dyDescent="0.25">
      <c r="A568" s="14">
        <f t="shared" si="13"/>
        <v>566</v>
      </c>
      <c r="B568" s="14" t="s">
        <v>1730</v>
      </c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 t="s">
        <v>882</v>
      </c>
      <c r="T568" s="14"/>
    </row>
    <row r="569" spans="1:20" x14ac:dyDescent="0.25">
      <c r="A569" s="14">
        <f t="shared" si="13"/>
        <v>567</v>
      </c>
      <c r="B569" s="14" t="s">
        <v>1731</v>
      </c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 t="s">
        <v>883</v>
      </c>
      <c r="T569" s="14"/>
    </row>
    <row r="570" spans="1:20" x14ac:dyDescent="0.25">
      <c r="A570" s="14">
        <f t="shared" si="13"/>
        <v>568</v>
      </c>
      <c r="B570" s="14" t="s">
        <v>1732</v>
      </c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 t="s">
        <v>884</v>
      </c>
      <c r="T570" s="14"/>
    </row>
    <row r="571" spans="1:20" x14ac:dyDescent="0.25">
      <c r="A571" s="14">
        <f t="shared" si="13"/>
        <v>569</v>
      </c>
      <c r="B571" s="14" t="s">
        <v>1733</v>
      </c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 t="s">
        <v>699</v>
      </c>
      <c r="T571" s="14"/>
    </row>
    <row r="572" spans="1:20" x14ac:dyDescent="0.25">
      <c r="A572" s="14">
        <f t="shared" si="13"/>
        <v>570</v>
      </c>
      <c r="B572" s="14" t="s">
        <v>1734</v>
      </c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 t="s">
        <v>699</v>
      </c>
      <c r="T572" s="14"/>
    </row>
    <row r="573" spans="1:20" x14ac:dyDescent="0.25">
      <c r="A573" s="14">
        <f t="shared" si="13"/>
        <v>571</v>
      </c>
      <c r="B573" s="14" t="s">
        <v>1735</v>
      </c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 t="s">
        <v>885</v>
      </c>
      <c r="T573" s="14"/>
    </row>
    <row r="574" spans="1:20" x14ac:dyDescent="0.25">
      <c r="A574" s="14">
        <f t="shared" si="13"/>
        <v>572</v>
      </c>
      <c r="B574" s="14" t="s">
        <v>1736</v>
      </c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 t="s">
        <v>886</v>
      </c>
      <c r="T574" s="14"/>
    </row>
    <row r="575" spans="1:20" x14ac:dyDescent="0.25">
      <c r="A575" s="14">
        <f t="shared" si="13"/>
        <v>573</v>
      </c>
      <c r="B575" s="14" t="s">
        <v>1737</v>
      </c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 t="s">
        <v>887</v>
      </c>
      <c r="T575" s="14"/>
    </row>
    <row r="576" spans="1:20" x14ac:dyDescent="0.25">
      <c r="A576" s="14">
        <f t="shared" si="13"/>
        <v>574</v>
      </c>
      <c r="B576" s="14" t="s">
        <v>1738</v>
      </c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 t="s">
        <v>888</v>
      </c>
      <c r="T576" s="14"/>
    </row>
    <row r="577" spans="1:20" x14ac:dyDescent="0.25">
      <c r="A577" s="14">
        <f t="shared" si="13"/>
        <v>575</v>
      </c>
      <c r="B577" s="14" t="s">
        <v>1739</v>
      </c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 t="s">
        <v>889</v>
      </c>
      <c r="T577" s="14"/>
    </row>
    <row r="578" spans="1:20" x14ac:dyDescent="0.25">
      <c r="A578" s="14">
        <f t="shared" si="13"/>
        <v>576</v>
      </c>
      <c r="B578" s="14" t="s">
        <v>1740</v>
      </c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 t="s">
        <v>890</v>
      </c>
      <c r="T578" s="14"/>
    </row>
    <row r="579" spans="1:20" x14ac:dyDescent="0.25">
      <c r="A579" s="14">
        <f t="shared" si="13"/>
        <v>577</v>
      </c>
      <c r="B579" s="14" t="s">
        <v>1741</v>
      </c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 t="s">
        <v>891</v>
      </c>
      <c r="T579" s="14"/>
    </row>
    <row r="580" spans="1:20" x14ac:dyDescent="0.25">
      <c r="A580" s="14">
        <f t="shared" ref="A580:A619" si="14">A579+1</f>
        <v>578</v>
      </c>
      <c r="B580" s="14" t="s">
        <v>1742</v>
      </c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</row>
    <row r="581" spans="1:20" x14ac:dyDescent="0.25">
      <c r="A581" s="14">
        <f t="shared" si="14"/>
        <v>579</v>
      </c>
      <c r="B581" s="14" t="s">
        <v>1743</v>
      </c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</row>
    <row r="582" spans="1:20" x14ac:dyDescent="0.25">
      <c r="A582" s="14">
        <f t="shared" si="14"/>
        <v>580</v>
      </c>
      <c r="B582" s="14" t="s">
        <v>1744</v>
      </c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</row>
    <row r="583" spans="1:20" x14ac:dyDescent="0.25">
      <c r="A583" s="14">
        <f t="shared" si="14"/>
        <v>581</v>
      </c>
      <c r="B583" s="14" t="s">
        <v>1745</v>
      </c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</row>
    <row r="584" spans="1:20" x14ac:dyDescent="0.25">
      <c r="A584" s="14">
        <f t="shared" si="14"/>
        <v>582</v>
      </c>
      <c r="B584" s="14" t="s">
        <v>1746</v>
      </c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</row>
    <row r="585" spans="1:20" x14ac:dyDescent="0.25">
      <c r="A585" s="14">
        <f t="shared" si="14"/>
        <v>583</v>
      </c>
      <c r="B585" s="14" t="s">
        <v>1747</v>
      </c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</row>
    <row r="586" spans="1:20" x14ac:dyDescent="0.25">
      <c r="A586" s="14">
        <f t="shared" si="14"/>
        <v>584</v>
      </c>
      <c r="B586" s="14" t="s">
        <v>1748</v>
      </c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</row>
    <row r="587" spans="1:20" x14ac:dyDescent="0.25">
      <c r="A587" s="14">
        <f t="shared" si="14"/>
        <v>585</v>
      </c>
      <c r="B587" s="14" t="s">
        <v>1749</v>
      </c>
      <c r="C587" s="14" t="s">
        <v>2080</v>
      </c>
      <c r="D587" s="14" t="s">
        <v>2081</v>
      </c>
      <c r="E587" s="14"/>
      <c r="F587" s="14" t="s">
        <v>275</v>
      </c>
      <c r="G587" s="14" t="s">
        <v>9</v>
      </c>
      <c r="H587" s="14" t="s">
        <v>10</v>
      </c>
      <c r="I587" s="14">
        <v>1</v>
      </c>
      <c r="J587" s="14"/>
      <c r="K587" s="14" t="s">
        <v>306</v>
      </c>
      <c r="L587" s="14"/>
      <c r="M587" s="14"/>
      <c r="N587" s="14"/>
      <c r="O587" s="14" t="s">
        <v>2082</v>
      </c>
      <c r="P587" s="14"/>
      <c r="Q587" s="14"/>
      <c r="R587" s="14"/>
      <c r="S587" s="14"/>
      <c r="T587" s="14"/>
    </row>
    <row r="588" spans="1:20" x14ac:dyDescent="0.25">
      <c r="A588" s="14">
        <f t="shared" si="14"/>
        <v>586</v>
      </c>
      <c r="B588" s="14" t="s">
        <v>1750</v>
      </c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</row>
    <row r="589" spans="1:20" x14ac:dyDescent="0.25">
      <c r="A589" s="14">
        <f t="shared" si="14"/>
        <v>587</v>
      </c>
      <c r="B589" s="14" t="s">
        <v>1751</v>
      </c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</row>
    <row r="590" spans="1:20" x14ac:dyDescent="0.25">
      <c r="A590" s="14">
        <f t="shared" si="14"/>
        <v>588</v>
      </c>
      <c r="B590" s="14" t="s">
        <v>1752</v>
      </c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</row>
    <row r="591" spans="1:20" x14ac:dyDescent="0.25">
      <c r="A591" s="14">
        <f t="shared" si="14"/>
        <v>589</v>
      </c>
      <c r="B591" s="14" t="s">
        <v>1753</v>
      </c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</row>
    <row r="592" spans="1:20" x14ac:dyDescent="0.25">
      <c r="A592" s="14">
        <f t="shared" si="14"/>
        <v>590</v>
      </c>
      <c r="B592" s="14" t="s">
        <v>1754</v>
      </c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</row>
    <row r="593" spans="1:20" x14ac:dyDescent="0.25">
      <c r="A593" s="14">
        <f t="shared" si="14"/>
        <v>591</v>
      </c>
      <c r="B593" s="14" t="s">
        <v>1755</v>
      </c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</row>
    <row r="594" spans="1:20" x14ac:dyDescent="0.25">
      <c r="A594" s="14">
        <f t="shared" si="14"/>
        <v>592</v>
      </c>
      <c r="B594" s="14" t="s">
        <v>1756</v>
      </c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</row>
    <row r="595" spans="1:20" x14ac:dyDescent="0.25">
      <c r="A595" s="14">
        <f t="shared" si="14"/>
        <v>593</v>
      </c>
      <c r="B595" s="14" t="s">
        <v>1757</v>
      </c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</row>
    <row r="596" spans="1:20" x14ac:dyDescent="0.25">
      <c r="A596" s="14">
        <f t="shared" si="14"/>
        <v>594</v>
      </c>
      <c r="B596" s="14" t="s">
        <v>1758</v>
      </c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</row>
    <row r="597" spans="1:20" x14ac:dyDescent="0.25">
      <c r="A597" s="14">
        <f t="shared" si="14"/>
        <v>595</v>
      </c>
      <c r="B597" s="14" t="s">
        <v>1759</v>
      </c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</row>
    <row r="598" spans="1:20" x14ac:dyDescent="0.25">
      <c r="A598" s="14">
        <f t="shared" si="14"/>
        <v>596</v>
      </c>
      <c r="B598" s="14" t="s">
        <v>1760</v>
      </c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</row>
    <row r="599" spans="1:20" x14ac:dyDescent="0.25">
      <c r="A599" s="14">
        <f t="shared" si="14"/>
        <v>597</v>
      </c>
      <c r="B599" s="14" t="s">
        <v>1761</v>
      </c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</row>
    <row r="600" spans="1:20" x14ac:dyDescent="0.25">
      <c r="A600" s="14">
        <f t="shared" si="14"/>
        <v>598</v>
      </c>
      <c r="B600" s="14" t="s">
        <v>1762</v>
      </c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</row>
    <row r="601" spans="1:20" x14ac:dyDescent="0.25">
      <c r="A601" s="14">
        <f t="shared" si="14"/>
        <v>599</v>
      </c>
      <c r="B601" s="14" t="s">
        <v>1763</v>
      </c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</row>
    <row r="602" spans="1:20" x14ac:dyDescent="0.25">
      <c r="A602" s="14">
        <f t="shared" si="14"/>
        <v>600</v>
      </c>
      <c r="B602" s="14" t="s">
        <v>1764</v>
      </c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</row>
    <row r="603" spans="1:20" x14ac:dyDescent="0.25">
      <c r="A603" s="14">
        <f t="shared" si="14"/>
        <v>601</v>
      </c>
      <c r="B603" s="14" t="s">
        <v>1765</v>
      </c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</row>
    <row r="604" spans="1:20" x14ac:dyDescent="0.25">
      <c r="A604" s="14">
        <f t="shared" si="14"/>
        <v>602</v>
      </c>
      <c r="B604" s="14" t="s">
        <v>1766</v>
      </c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</row>
    <row r="605" spans="1:20" x14ac:dyDescent="0.25">
      <c r="A605" s="14">
        <f t="shared" si="14"/>
        <v>603</v>
      </c>
      <c r="B605" s="14" t="s">
        <v>1767</v>
      </c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</row>
    <row r="606" spans="1:20" x14ac:dyDescent="0.25">
      <c r="A606" s="14">
        <f t="shared" si="14"/>
        <v>604</v>
      </c>
      <c r="B606" s="14" t="s">
        <v>1768</v>
      </c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</row>
    <row r="607" spans="1:20" x14ac:dyDescent="0.25">
      <c r="A607" s="14">
        <f t="shared" si="14"/>
        <v>605</v>
      </c>
      <c r="B607" s="14" t="s">
        <v>1769</v>
      </c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</row>
    <row r="608" spans="1:20" x14ac:dyDescent="0.25">
      <c r="A608" s="14">
        <f t="shared" si="14"/>
        <v>606</v>
      </c>
      <c r="B608" s="14" t="s">
        <v>1770</v>
      </c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</row>
    <row r="609" spans="1:20" x14ac:dyDescent="0.25">
      <c r="A609" s="14">
        <f t="shared" si="14"/>
        <v>607</v>
      </c>
      <c r="B609" s="14" t="s">
        <v>1771</v>
      </c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</row>
    <row r="610" spans="1:20" x14ac:dyDescent="0.25">
      <c r="A610" s="14">
        <f t="shared" si="14"/>
        <v>608</v>
      </c>
      <c r="B610" s="14" t="s">
        <v>1772</v>
      </c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</row>
    <row r="611" spans="1:20" x14ac:dyDescent="0.25">
      <c r="A611" s="14">
        <f t="shared" si="14"/>
        <v>609</v>
      </c>
      <c r="B611" s="14" t="s">
        <v>1773</v>
      </c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</row>
    <row r="612" spans="1:20" x14ac:dyDescent="0.25">
      <c r="A612" s="14">
        <f t="shared" si="14"/>
        <v>610</v>
      </c>
      <c r="B612" s="14" t="s">
        <v>1774</v>
      </c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</row>
    <row r="613" spans="1:20" x14ac:dyDescent="0.25">
      <c r="A613" s="14">
        <f t="shared" si="14"/>
        <v>611</v>
      </c>
      <c r="B613" s="14" t="s">
        <v>1775</v>
      </c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</row>
    <row r="614" spans="1:20" x14ac:dyDescent="0.25">
      <c r="A614" s="14">
        <f t="shared" si="14"/>
        <v>612</v>
      </c>
      <c r="B614" s="14" t="s">
        <v>1776</v>
      </c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</row>
    <row r="615" spans="1:20" x14ac:dyDescent="0.25">
      <c r="A615" s="14">
        <f t="shared" si="14"/>
        <v>613</v>
      </c>
      <c r="B615" s="14" t="s">
        <v>1777</v>
      </c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</row>
    <row r="616" spans="1:20" x14ac:dyDescent="0.25">
      <c r="A616" s="14">
        <f t="shared" si="14"/>
        <v>614</v>
      </c>
      <c r="B616" s="14" t="s">
        <v>1778</v>
      </c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</row>
    <row r="617" spans="1:20" x14ac:dyDescent="0.25">
      <c r="A617" s="14">
        <f t="shared" si="14"/>
        <v>615</v>
      </c>
      <c r="B617" s="14" t="s">
        <v>1779</v>
      </c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</row>
    <row r="618" spans="1:20" x14ac:dyDescent="0.25">
      <c r="A618" s="18">
        <f t="shared" si="14"/>
        <v>616</v>
      </c>
      <c r="B618" s="14" t="s">
        <v>1996</v>
      </c>
      <c r="C618" s="14" t="s">
        <v>1997</v>
      </c>
      <c r="D618" s="14" t="s">
        <v>1998</v>
      </c>
      <c r="E618" s="14"/>
      <c r="F618" s="14" t="s">
        <v>275</v>
      </c>
      <c r="G618" s="14" t="s">
        <v>11</v>
      </c>
      <c r="H618" s="14" t="s">
        <v>13</v>
      </c>
      <c r="I618" s="14" t="s">
        <v>548</v>
      </c>
      <c r="J618" s="14" t="s">
        <v>1976</v>
      </c>
      <c r="K618" s="14" t="s">
        <v>1992</v>
      </c>
      <c r="L618" s="14"/>
      <c r="M618" s="14"/>
      <c r="N618" s="14"/>
      <c r="O618" s="14"/>
      <c r="P618" s="14"/>
      <c r="Q618" s="14"/>
      <c r="R618" s="14"/>
      <c r="S618" s="14"/>
      <c r="T618" s="14"/>
    </row>
    <row r="619" spans="1:20" x14ac:dyDescent="0.25">
      <c r="A619" s="14">
        <f t="shared" si="14"/>
        <v>617</v>
      </c>
      <c r="B619" s="14" t="s">
        <v>571</v>
      </c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 t="s">
        <v>892</v>
      </c>
      <c r="T619" s="14"/>
    </row>
    <row r="620" spans="1:20" x14ac:dyDescent="0.25">
      <c r="A620" s="14">
        <v>10000</v>
      </c>
      <c r="B620" s="14" t="s">
        <v>1780</v>
      </c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 t="s">
        <v>893</v>
      </c>
      <c r="T620" s="14"/>
    </row>
    <row r="621" spans="1:20" x14ac:dyDescent="0.25">
      <c r="A621" s="14">
        <f>A620+1</f>
        <v>10001</v>
      </c>
      <c r="B621" s="14" t="s">
        <v>271</v>
      </c>
      <c r="C621" s="14" t="s">
        <v>272</v>
      </c>
      <c r="D621" s="14" t="s">
        <v>1970</v>
      </c>
      <c r="E621" s="14"/>
      <c r="F621" s="14" t="s">
        <v>275</v>
      </c>
      <c r="G621" s="14" t="s">
        <v>11</v>
      </c>
      <c r="H621" s="14" t="s">
        <v>65</v>
      </c>
      <c r="I621" s="14" t="s">
        <v>551</v>
      </c>
      <c r="J621" s="14" t="s">
        <v>1978</v>
      </c>
      <c r="K621" s="14" t="s">
        <v>276</v>
      </c>
      <c r="L621" s="14"/>
      <c r="M621" s="14"/>
      <c r="N621" s="14"/>
      <c r="O621" s="14"/>
      <c r="P621" s="14"/>
      <c r="Q621" s="14"/>
      <c r="R621" s="14"/>
      <c r="S621" s="14" t="s">
        <v>894</v>
      </c>
      <c r="T621" s="14"/>
    </row>
    <row r="622" spans="1:20" x14ac:dyDescent="0.25">
      <c r="A622" s="14">
        <f t="shared" ref="A622:A685" si="15">A621+1</f>
        <v>10002</v>
      </c>
      <c r="B622" s="14" t="s">
        <v>278</v>
      </c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 t="s">
        <v>895</v>
      </c>
      <c r="T622" s="14"/>
    </row>
    <row r="623" spans="1:20" x14ac:dyDescent="0.25">
      <c r="A623" s="14">
        <f t="shared" si="15"/>
        <v>10003</v>
      </c>
      <c r="B623" s="14" t="s">
        <v>280</v>
      </c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 t="s">
        <v>896</v>
      </c>
      <c r="T623" s="14"/>
    </row>
    <row r="624" spans="1:20" x14ac:dyDescent="0.25">
      <c r="A624" s="14">
        <f t="shared" si="15"/>
        <v>10004</v>
      </c>
      <c r="B624" s="14" t="s">
        <v>308</v>
      </c>
      <c r="C624" s="14" t="s">
        <v>1971</v>
      </c>
      <c r="D624" s="14" t="s">
        <v>1972</v>
      </c>
      <c r="E624" s="14"/>
      <c r="F624" s="14" t="s">
        <v>275</v>
      </c>
      <c r="G624" s="14" t="s">
        <v>11</v>
      </c>
      <c r="H624" s="14" t="s">
        <v>13</v>
      </c>
      <c r="I624" s="14" t="s">
        <v>548</v>
      </c>
      <c r="J624" s="14" t="s">
        <v>1976</v>
      </c>
      <c r="K624" s="14" t="s">
        <v>286</v>
      </c>
      <c r="L624" s="14"/>
      <c r="M624" s="14"/>
      <c r="N624" s="14"/>
      <c r="O624" s="14"/>
      <c r="P624" s="14"/>
      <c r="Q624" s="14"/>
      <c r="R624" s="14"/>
      <c r="S624" s="14" t="s">
        <v>897</v>
      </c>
      <c r="T624" s="14"/>
    </row>
    <row r="625" spans="1:20" x14ac:dyDescent="0.25">
      <c r="A625" s="14">
        <f t="shared" si="15"/>
        <v>10005</v>
      </c>
      <c r="B625" s="14" t="s">
        <v>315</v>
      </c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 t="s">
        <v>898</v>
      </c>
      <c r="T625" s="14"/>
    </row>
    <row r="626" spans="1:20" x14ac:dyDescent="0.25">
      <c r="A626" s="14">
        <f t="shared" si="15"/>
        <v>10006</v>
      </c>
      <c r="B626" s="14" t="s">
        <v>589</v>
      </c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 t="s">
        <v>899</v>
      </c>
      <c r="T626" s="14"/>
    </row>
    <row r="627" spans="1:20" x14ac:dyDescent="0.25">
      <c r="A627" s="14">
        <f t="shared" si="15"/>
        <v>10007</v>
      </c>
      <c r="B627" s="14" t="s">
        <v>321</v>
      </c>
      <c r="C627" s="14" t="s">
        <v>322</v>
      </c>
      <c r="D627" s="14" t="s">
        <v>1969</v>
      </c>
      <c r="E627" s="14"/>
      <c r="F627" s="14" t="s">
        <v>275</v>
      </c>
      <c r="G627" s="14" t="s">
        <v>11</v>
      </c>
      <c r="H627" s="14" t="s">
        <v>10</v>
      </c>
      <c r="I627" s="14">
        <v>1</v>
      </c>
      <c r="J627" s="14">
        <v>1</v>
      </c>
      <c r="K627" s="14" t="s">
        <v>306</v>
      </c>
      <c r="L627" s="14"/>
      <c r="M627" s="14"/>
      <c r="N627" s="14"/>
      <c r="O627" s="14" t="s">
        <v>324</v>
      </c>
      <c r="P627" s="14"/>
      <c r="Q627" s="14"/>
      <c r="R627" s="14"/>
      <c r="S627" s="14" t="s">
        <v>324</v>
      </c>
      <c r="T627" s="14"/>
    </row>
    <row r="628" spans="1:20" x14ac:dyDescent="0.25">
      <c r="A628" s="14">
        <f t="shared" si="15"/>
        <v>10008</v>
      </c>
      <c r="B628" s="14" t="s">
        <v>590</v>
      </c>
      <c r="C628" s="14" t="s">
        <v>334</v>
      </c>
      <c r="D628" s="14" t="s">
        <v>334</v>
      </c>
      <c r="E628" s="14"/>
      <c r="F628" s="14" t="s">
        <v>275</v>
      </c>
      <c r="G628" s="14" t="s">
        <v>11</v>
      </c>
      <c r="H628" s="14" t="s">
        <v>99</v>
      </c>
      <c r="I628" s="14" t="s">
        <v>555</v>
      </c>
      <c r="J628" s="14" t="s">
        <v>1977</v>
      </c>
      <c r="K628" s="14" t="s">
        <v>286</v>
      </c>
      <c r="L628" s="14"/>
      <c r="M628" s="14"/>
      <c r="N628" s="14"/>
      <c r="O628" s="14"/>
      <c r="P628" s="14"/>
      <c r="Q628" s="14"/>
      <c r="R628" s="14"/>
      <c r="S628" s="14" t="s">
        <v>900</v>
      </c>
      <c r="T628" s="14"/>
    </row>
    <row r="629" spans="1:20" x14ac:dyDescent="0.25">
      <c r="A629" s="14">
        <f t="shared" si="15"/>
        <v>10009</v>
      </c>
      <c r="B629" s="14" t="s">
        <v>591</v>
      </c>
      <c r="C629" s="14" t="s">
        <v>338</v>
      </c>
      <c r="D629" s="14" t="s">
        <v>338</v>
      </c>
      <c r="E629" s="14"/>
      <c r="F629" s="14" t="s">
        <v>275</v>
      </c>
      <c r="G629" s="14" t="s">
        <v>11</v>
      </c>
      <c r="H629" s="14" t="s">
        <v>99</v>
      </c>
      <c r="I629" s="14" t="s">
        <v>555</v>
      </c>
      <c r="J629" s="14" t="s">
        <v>1977</v>
      </c>
      <c r="K629" s="14" t="s">
        <v>286</v>
      </c>
      <c r="L629" s="14"/>
      <c r="M629" s="14"/>
      <c r="N629" s="14"/>
      <c r="O629" s="14"/>
      <c r="P629" s="14"/>
      <c r="Q629" s="14"/>
      <c r="R629" s="14"/>
      <c r="S629" s="14" t="s">
        <v>901</v>
      </c>
      <c r="T629" s="14"/>
    </row>
    <row r="630" spans="1:20" x14ac:dyDescent="0.25">
      <c r="A630" s="14">
        <f t="shared" si="15"/>
        <v>10010</v>
      </c>
      <c r="B630" s="14" t="s">
        <v>592</v>
      </c>
      <c r="C630" s="14" t="s">
        <v>341</v>
      </c>
      <c r="D630" s="14" t="s">
        <v>341</v>
      </c>
      <c r="E630" s="14"/>
      <c r="F630" s="14" t="s">
        <v>275</v>
      </c>
      <c r="G630" s="14" t="s">
        <v>11</v>
      </c>
      <c r="H630" s="14" t="s">
        <v>99</v>
      </c>
      <c r="I630" s="14" t="s">
        <v>555</v>
      </c>
      <c r="J630" s="14" t="s">
        <v>1977</v>
      </c>
      <c r="K630" s="14" t="s">
        <v>286</v>
      </c>
      <c r="L630" s="14"/>
      <c r="M630" s="14"/>
      <c r="N630" s="14"/>
      <c r="O630" s="14"/>
      <c r="P630" s="14"/>
      <c r="Q630" s="14"/>
      <c r="R630" s="14"/>
      <c r="S630" s="14" t="s">
        <v>902</v>
      </c>
      <c r="T630" s="14"/>
    </row>
    <row r="631" spans="1:20" x14ac:dyDescent="0.25">
      <c r="A631" s="14">
        <f t="shared" si="15"/>
        <v>10011</v>
      </c>
      <c r="B631" s="14" t="s">
        <v>594</v>
      </c>
      <c r="C631" s="14" t="s">
        <v>343</v>
      </c>
      <c r="D631" s="14" t="s">
        <v>343</v>
      </c>
      <c r="E631" s="14"/>
      <c r="F631" s="14" t="s">
        <v>275</v>
      </c>
      <c r="G631" s="14" t="s">
        <v>11</v>
      </c>
      <c r="H631" s="14" t="s">
        <v>99</v>
      </c>
      <c r="I631" s="14" t="s">
        <v>555</v>
      </c>
      <c r="J631" s="14" t="s">
        <v>1977</v>
      </c>
      <c r="K631" s="14" t="s">
        <v>286</v>
      </c>
      <c r="L631" s="14"/>
      <c r="M631" s="14"/>
      <c r="N631" s="14"/>
      <c r="O631" s="14"/>
      <c r="P631" s="14"/>
      <c r="Q631" s="14"/>
      <c r="R631" s="14"/>
      <c r="S631" s="14" t="s">
        <v>903</v>
      </c>
      <c r="T631" s="14"/>
    </row>
    <row r="632" spans="1:20" x14ac:dyDescent="0.25">
      <c r="A632" s="14">
        <f t="shared" si="15"/>
        <v>10012</v>
      </c>
      <c r="B632" s="14" t="s">
        <v>593</v>
      </c>
      <c r="C632" s="14" t="s">
        <v>344</v>
      </c>
      <c r="D632" s="14" t="s">
        <v>344</v>
      </c>
      <c r="E632" s="14"/>
      <c r="F632" s="14" t="s">
        <v>275</v>
      </c>
      <c r="G632" s="14" t="s">
        <v>11</v>
      </c>
      <c r="H632" s="14" t="s">
        <v>13</v>
      </c>
      <c r="I632" s="14" t="s">
        <v>548</v>
      </c>
      <c r="J632" s="14" t="s">
        <v>1976</v>
      </c>
      <c r="K632" s="14" t="s">
        <v>1959</v>
      </c>
      <c r="L632" s="14"/>
      <c r="M632" s="14"/>
      <c r="N632" s="14"/>
      <c r="O632" s="14"/>
      <c r="P632" s="14"/>
      <c r="Q632" s="14"/>
      <c r="R632" s="14"/>
      <c r="S632" s="14" t="s">
        <v>904</v>
      </c>
      <c r="T632" s="14"/>
    </row>
    <row r="633" spans="1:20" x14ac:dyDescent="0.25">
      <c r="A633" s="14">
        <f t="shared" si="15"/>
        <v>10013</v>
      </c>
      <c r="B633" s="14" t="s">
        <v>595</v>
      </c>
      <c r="C633" s="14" t="s">
        <v>347</v>
      </c>
      <c r="D633" s="14" t="s">
        <v>1973</v>
      </c>
      <c r="E633" s="14"/>
      <c r="F633" s="14" t="s">
        <v>275</v>
      </c>
      <c r="G633" s="14" t="s">
        <v>11</v>
      </c>
      <c r="H633" s="14" t="s">
        <v>1974</v>
      </c>
      <c r="I633" s="14" t="s">
        <v>557</v>
      </c>
      <c r="J633" s="14" t="s">
        <v>1975</v>
      </c>
      <c r="K633" s="14" t="s">
        <v>1979</v>
      </c>
      <c r="L633" s="14"/>
      <c r="M633" s="14"/>
      <c r="N633" s="14"/>
      <c r="O633" s="14"/>
      <c r="P633" s="14"/>
      <c r="Q633" s="14"/>
      <c r="R633" s="14"/>
      <c r="S633" s="14" t="s">
        <v>905</v>
      </c>
      <c r="T633" s="14"/>
    </row>
    <row r="634" spans="1:20" x14ac:dyDescent="0.25">
      <c r="A634" s="14">
        <f t="shared" si="15"/>
        <v>10014</v>
      </c>
      <c r="B634" s="14" t="s">
        <v>1781</v>
      </c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 t="s">
        <v>906</v>
      </c>
      <c r="T634" s="14"/>
    </row>
    <row r="635" spans="1:20" x14ac:dyDescent="0.25">
      <c r="A635" s="14">
        <f t="shared" si="15"/>
        <v>10015</v>
      </c>
      <c r="B635" s="14" t="s">
        <v>353</v>
      </c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 t="s">
        <v>907</v>
      </c>
      <c r="T635" s="14"/>
    </row>
    <row r="636" spans="1:20" x14ac:dyDescent="0.25">
      <c r="A636" s="14">
        <f t="shared" si="15"/>
        <v>10016</v>
      </c>
      <c r="B636" s="14" t="s">
        <v>355</v>
      </c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 t="s">
        <v>908</v>
      </c>
      <c r="T636" s="14"/>
    </row>
    <row r="637" spans="1:20" x14ac:dyDescent="0.25">
      <c r="A637" s="14">
        <f t="shared" si="15"/>
        <v>10017</v>
      </c>
      <c r="B637" s="14" t="s">
        <v>357</v>
      </c>
      <c r="C637" s="14" t="s">
        <v>2083</v>
      </c>
      <c r="D637" s="14" t="s">
        <v>2084</v>
      </c>
      <c r="E637" s="14"/>
      <c r="F637" s="14" t="s">
        <v>275</v>
      </c>
      <c r="G637" s="14" t="s">
        <v>9</v>
      </c>
      <c r="H637" s="14" t="s">
        <v>99</v>
      </c>
      <c r="I637" s="14" t="s">
        <v>555</v>
      </c>
      <c r="J637" s="14" t="s">
        <v>1977</v>
      </c>
      <c r="K637" s="14" t="s">
        <v>1979</v>
      </c>
      <c r="L637" s="14">
        <v>1</v>
      </c>
      <c r="M637" s="14">
        <v>10000</v>
      </c>
      <c r="N637" s="14">
        <v>510</v>
      </c>
      <c r="O637" s="14"/>
      <c r="P637" s="14"/>
      <c r="Q637" s="14"/>
      <c r="R637" s="14"/>
      <c r="S637" s="14" t="s">
        <v>909</v>
      </c>
      <c r="T637" s="14"/>
    </row>
    <row r="638" spans="1:20" x14ac:dyDescent="0.25">
      <c r="A638" s="14">
        <f t="shared" si="15"/>
        <v>10018</v>
      </c>
      <c r="B638" s="14" t="s">
        <v>351</v>
      </c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 t="s">
        <v>910</v>
      </c>
      <c r="T638" s="14"/>
    </row>
    <row r="639" spans="1:20" x14ac:dyDescent="0.25">
      <c r="A639" s="14">
        <f t="shared" si="15"/>
        <v>10019</v>
      </c>
      <c r="B639" s="14" t="s">
        <v>359</v>
      </c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 t="s">
        <v>911</v>
      </c>
      <c r="T639" s="14"/>
    </row>
    <row r="640" spans="1:20" x14ac:dyDescent="0.25">
      <c r="A640" s="14">
        <f t="shared" si="15"/>
        <v>10020</v>
      </c>
      <c r="B640" s="14" t="s">
        <v>361</v>
      </c>
      <c r="C640" s="14" t="s">
        <v>2085</v>
      </c>
      <c r="D640" s="14" t="s">
        <v>2086</v>
      </c>
      <c r="E640" s="14"/>
      <c r="F640" s="14" t="s">
        <v>275</v>
      </c>
      <c r="G640" s="14" t="s">
        <v>9</v>
      </c>
      <c r="H640" s="14" t="s">
        <v>10</v>
      </c>
      <c r="I640" s="14">
        <v>1</v>
      </c>
      <c r="J640" s="14"/>
      <c r="K640" s="14" t="s">
        <v>2003</v>
      </c>
      <c r="L640" s="14">
        <v>0</v>
      </c>
      <c r="M640" s="14">
        <v>1</v>
      </c>
      <c r="N640" s="14">
        <v>0.85</v>
      </c>
      <c r="O640" s="14"/>
      <c r="P640" s="14"/>
      <c r="Q640" s="14"/>
      <c r="R640" s="14"/>
      <c r="S640" s="14" t="s">
        <v>912</v>
      </c>
      <c r="T640" s="14"/>
    </row>
    <row r="641" spans="1:20" x14ac:dyDescent="0.25">
      <c r="A641" s="14">
        <f t="shared" si="15"/>
        <v>10021</v>
      </c>
      <c r="B641" s="14" t="s">
        <v>363</v>
      </c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 t="s">
        <v>913</v>
      </c>
      <c r="T641" s="14"/>
    </row>
    <row r="642" spans="1:20" x14ac:dyDescent="0.25">
      <c r="A642" s="14">
        <f t="shared" si="15"/>
        <v>10022</v>
      </c>
      <c r="B642" s="14" t="s">
        <v>365</v>
      </c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 t="s">
        <v>914</v>
      </c>
      <c r="T642" s="14"/>
    </row>
    <row r="643" spans="1:20" x14ac:dyDescent="0.25">
      <c r="A643" s="14">
        <f t="shared" si="15"/>
        <v>10023</v>
      </c>
      <c r="B643" s="14" t="s">
        <v>78</v>
      </c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 t="s">
        <v>720</v>
      </c>
      <c r="T643" s="14"/>
    </row>
    <row r="644" spans="1:20" x14ac:dyDescent="0.25">
      <c r="A644" s="14">
        <f t="shared" si="15"/>
        <v>10024</v>
      </c>
      <c r="B644" s="14" t="s">
        <v>367</v>
      </c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 t="s">
        <v>915</v>
      </c>
      <c r="T644" s="14"/>
    </row>
    <row r="645" spans="1:20" x14ac:dyDescent="0.25">
      <c r="A645" s="14">
        <f t="shared" si="15"/>
        <v>10025</v>
      </c>
      <c r="B645" s="14" t="s">
        <v>370</v>
      </c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 t="s">
        <v>916</v>
      </c>
      <c r="T645" s="14"/>
    </row>
    <row r="646" spans="1:20" x14ac:dyDescent="0.25">
      <c r="A646" s="14">
        <f t="shared" si="15"/>
        <v>10026</v>
      </c>
      <c r="B646" s="14" t="s">
        <v>372</v>
      </c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 t="s">
        <v>917</v>
      </c>
      <c r="T646" s="14"/>
    </row>
    <row r="647" spans="1:20" x14ac:dyDescent="0.25">
      <c r="A647" s="14">
        <f t="shared" si="15"/>
        <v>10027</v>
      </c>
      <c r="B647" s="14" t="s">
        <v>56</v>
      </c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 t="s">
        <v>918</v>
      </c>
      <c r="T647" s="14"/>
    </row>
    <row r="648" spans="1:20" x14ac:dyDescent="0.25">
      <c r="A648" s="14">
        <f t="shared" si="15"/>
        <v>10028</v>
      </c>
      <c r="B648" s="14" t="s">
        <v>57</v>
      </c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 t="s">
        <v>919</v>
      </c>
      <c r="T648" s="14"/>
    </row>
    <row r="649" spans="1:20" x14ac:dyDescent="0.25">
      <c r="A649" s="14">
        <f t="shared" si="15"/>
        <v>10029</v>
      </c>
      <c r="B649" s="14" t="s">
        <v>1782</v>
      </c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 t="s">
        <v>920</v>
      </c>
      <c r="T649" s="14" t="s">
        <v>921</v>
      </c>
    </row>
    <row r="650" spans="1:20" x14ac:dyDescent="0.25">
      <c r="A650" s="14">
        <f t="shared" si="15"/>
        <v>10030</v>
      </c>
      <c r="B650" s="14" t="s">
        <v>1783</v>
      </c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 t="s">
        <v>922</v>
      </c>
      <c r="T650" s="14" t="s">
        <v>923</v>
      </c>
    </row>
    <row r="651" spans="1:20" x14ac:dyDescent="0.25">
      <c r="A651" s="14">
        <f t="shared" si="15"/>
        <v>10031</v>
      </c>
      <c r="B651" s="14" t="s">
        <v>1784</v>
      </c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 t="s">
        <v>924</v>
      </c>
      <c r="T651" s="14" t="s">
        <v>923</v>
      </c>
    </row>
    <row r="652" spans="1:20" x14ac:dyDescent="0.25">
      <c r="A652" s="14">
        <f t="shared" si="15"/>
        <v>10032</v>
      </c>
      <c r="B652" s="14" t="s">
        <v>1785</v>
      </c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 t="s">
        <v>925</v>
      </c>
      <c r="T652" s="14" t="s">
        <v>923</v>
      </c>
    </row>
    <row r="653" spans="1:20" x14ac:dyDescent="0.25">
      <c r="A653" s="14">
        <f t="shared" si="15"/>
        <v>10033</v>
      </c>
      <c r="B653" s="14" t="s">
        <v>1786</v>
      </c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 t="s">
        <v>926</v>
      </c>
      <c r="T653" s="14" t="s">
        <v>923</v>
      </c>
    </row>
    <row r="654" spans="1:20" x14ac:dyDescent="0.25">
      <c r="A654" s="14">
        <f t="shared" si="15"/>
        <v>10034</v>
      </c>
      <c r="B654" s="14" t="s">
        <v>1787</v>
      </c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 t="s">
        <v>927</v>
      </c>
      <c r="T654" s="14" t="s">
        <v>923</v>
      </c>
    </row>
    <row r="655" spans="1:20" x14ac:dyDescent="0.25">
      <c r="A655" s="14">
        <f t="shared" si="15"/>
        <v>10035</v>
      </c>
      <c r="B655" s="14" t="s">
        <v>1788</v>
      </c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 t="s">
        <v>928</v>
      </c>
      <c r="T655" s="14" t="s">
        <v>923</v>
      </c>
    </row>
    <row r="656" spans="1:20" x14ac:dyDescent="0.25">
      <c r="A656" s="14">
        <f t="shared" si="15"/>
        <v>10036</v>
      </c>
      <c r="B656" s="14" t="s">
        <v>1789</v>
      </c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 t="s">
        <v>929</v>
      </c>
      <c r="T656" s="14" t="s">
        <v>923</v>
      </c>
    </row>
    <row r="657" spans="1:20" x14ac:dyDescent="0.25">
      <c r="A657" s="14">
        <f t="shared" si="15"/>
        <v>10037</v>
      </c>
      <c r="B657" s="14" t="s">
        <v>1790</v>
      </c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 t="s">
        <v>930</v>
      </c>
      <c r="T657" s="14" t="s">
        <v>923</v>
      </c>
    </row>
    <row r="658" spans="1:20" x14ac:dyDescent="0.25">
      <c r="A658" s="14">
        <f t="shared" si="15"/>
        <v>10038</v>
      </c>
      <c r="B658" s="14" t="s">
        <v>1791</v>
      </c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 t="s">
        <v>931</v>
      </c>
      <c r="T658" s="14" t="s">
        <v>923</v>
      </c>
    </row>
    <row r="659" spans="1:20" x14ac:dyDescent="0.25">
      <c r="A659" s="14">
        <f t="shared" si="15"/>
        <v>10039</v>
      </c>
      <c r="B659" s="14" t="s">
        <v>1792</v>
      </c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 t="s">
        <v>932</v>
      </c>
      <c r="T659" s="14" t="s">
        <v>923</v>
      </c>
    </row>
    <row r="660" spans="1:20" x14ac:dyDescent="0.25">
      <c r="A660" s="14">
        <f t="shared" si="15"/>
        <v>10040</v>
      </c>
      <c r="B660" s="14" t="s">
        <v>1793</v>
      </c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 t="s">
        <v>933</v>
      </c>
      <c r="T660" s="14" t="s">
        <v>923</v>
      </c>
    </row>
    <row r="661" spans="1:20" x14ac:dyDescent="0.25">
      <c r="A661" s="14">
        <f t="shared" si="15"/>
        <v>10041</v>
      </c>
      <c r="B661" s="14" t="s">
        <v>1794</v>
      </c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 t="s">
        <v>934</v>
      </c>
      <c r="T661" s="14" t="s">
        <v>923</v>
      </c>
    </row>
    <row r="662" spans="1:20" x14ac:dyDescent="0.25">
      <c r="A662" s="14">
        <f t="shared" si="15"/>
        <v>10042</v>
      </c>
      <c r="B662" s="14" t="s">
        <v>19</v>
      </c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 t="s">
        <v>935</v>
      </c>
      <c r="T662" s="14"/>
    </row>
    <row r="663" spans="1:20" x14ac:dyDescent="0.25">
      <c r="A663" s="14">
        <f t="shared" si="15"/>
        <v>10043</v>
      </c>
      <c r="B663" s="14" t="s">
        <v>20</v>
      </c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 t="s">
        <v>936</v>
      </c>
      <c r="T663" s="14"/>
    </row>
    <row r="664" spans="1:20" x14ac:dyDescent="0.25">
      <c r="A664" s="14">
        <f t="shared" si="15"/>
        <v>10044</v>
      </c>
      <c r="B664" s="14" t="s">
        <v>21</v>
      </c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 t="s">
        <v>937</v>
      </c>
      <c r="T664" s="14"/>
    </row>
    <row r="665" spans="1:20" x14ac:dyDescent="0.25">
      <c r="A665" s="14">
        <f t="shared" si="15"/>
        <v>10045</v>
      </c>
      <c r="B665" s="14" t="s">
        <v>22</v>
      </c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 t="s">
        <v>938</v>
      </c>
      <c r="T665" s="14"/>
    </row>
    <row r="666" spans="1:20" x14ac:dyDescent="0.25">
      <c r="A666" s="14">
        <f t="shared" si="15"/>
        <v>10046</v>
      </c>
      <c r="B666" s="14" t="s">
        <v>23</v>
      </c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 t="s">
        <v>939</v>
      </c>
      <c r="T666" s="14"/>
    </row>
    <row r="667" spans="1:20" x14ac:dyDescent="0.25">
      <c r="A667" s="14">
        <f t="shared" si="15"/>
        <v>10047</v>
      </c>
      <c r="B667" s="14" t="s">
        <v>25</v>
      </c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 t="s">
        <v>940</v>
      </c>
      <c r="T667" s="14"/>
    </row>
    <row r="668" spans="1:20" x14ac:dyDescent="0.25">
      <c r="A668" s="14">
        <f t="shared" si="15"/>
        <v>10048</v>
      </c>
      <c r="B668" s="14" t="s">
        <v>29</v>
      </c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 t="s">
        <v>941</v>
      </c>
      <c r="T668" s="14"/>
    </row>
    <row r="669" spans="1:20" x14ac:dyDescent="0.25">
      <c r="A669" s="14">
        <f t="shared" si="15"/>
        <v>10049</v>
      </c>
      <c r="B669" s="14" t="s">
        <v>32</v>
      </c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 t="s">
        <v>942</v>
      </c>
      <c r="T669" s="14"/>
    </row>
    <row r="670" spans="1:20" x14ac:dyDescent="0.25">
      <c r="A670" s="14">
        <f t="shared" si="15"/>
        <v>10050</v>
      </c>
      <c r="B670" s="14" t="s">
        <v>39</v>
      </c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 t="s">
        <v>943</v>
      </c>
      <c r="T670" s="14"/>
    </row>
    <row r="671" spans="1:20" x14ac:dyDescent="0.25">
      <c r="A671" s="14">
        <f t="shared" si="15"/>
        <v>10051</v>
      </c>
      <c r="B671" s="14" t="s">
        <v>40</v>
      </c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 t="s">
        <v>944</v>
      </c>
      <c r="T671" s="14"/>
    </row>
    <row r="672" spans="1:20" x14ac:dyDescent="0.25">
      <c r="A672" s="14">
        <f t="shared" si="15"/>
        <v>10052</v>
      </c>
      <c r="B672" s="14" t="s">
        <v>41</v>
      </c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 t="s">
        <v>945</v>
      </c>
      <c r="T672" s="14"/>
    </row>
    <row r="673" spans="1:20" x14ac:dyDescent="0.25">
      <c r="A673" s="14">
        <f t="shared" si="15"/>
        <v>10053</v>
      </c>
      <c r="B673" s="14" t="s">
        <v>42</v>
      </c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 t="s">
        <v>946</v>
      </c>
      <c r="T673" s="14"/>
    </row>
    <row r="674" spans="1:20" x14ac:dyDescent="0.25">
      <c r="A674" s="14">
        <f t="shared" si="15"/>
        <v>10054</v>
      </c>
      <c r="B674" s="14" t="s">
        <v>43</v>
      </c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 t="s">
        <v>947</v>
      </c>
      <c r="T674" s="14"/>
    </row>
    <row r="675" spans="1:20" x14ac:dyDescent="0.25">
      <c r="A675" s="14">
        <f t="shared" si="15"/>
        <v>10055</v>
      </c>
      <c r="B675" s="14" t="s">
        <v>53</v>
      </c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 t="s">
        <v>948</v>
      </c>
      <c r="T675" s="14"/>
    </row>
    <row r="676" spans="1:20" x14ac:dyDescent="0.25">
      <c r="A676" s="14">
        <f t="shared" si="15"/>
        <v>10056</v>
      </c>
      <c r="B676" s="14" t="s">
        <v>54</v>
      </c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 t="s">
        <v>949</v>
      </c>
      <c r="T676" s="14"/>
    </row>
    <row r="677" spans="1:20" x14ac:dyDescent="0.25">
      <c r="A677" s="14">
        <f t="shared" si="15"/>
        <v>10057</v>
      </c>
      <c r="B677" s="14" t="s">
        <v>55</v>
      </c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 t="s">
        <v>950</v>
      </c>
      <c r="T677" s="14"/>
    </row>
    <row r="678" spans="1:20" x14ac:dyDescent="0.25">
      <c r="A678" s="14">
        <f t="shared" si="15"/>
        <v>10058</v>
      </c>
      <c r="B678" s="14" t="s">
        <v>58</v>
      </c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 t="s">
        <v>951</v>
      </c>
      <c r="T678" s="14"/>
    </row>
    <row r="679" spans="1:20" x14ac:dyDescent="0.25">
      <c r="A679" s="14">
        <f t="shared" si="15"/>
        <v>10059</v>
      </c>
      <c r="B679" s="14" t="s">
        <v>59</v>
      </c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 t="s">
        <v>952</v>
      </c>
      <c r="T679" s="14"/>
    </row>
    <row r="680" spans="1:20" x14ac:dyDescent="0.25">
      <c r="A680" s="14">
        <f t="shared" si="15"/>
        <v>10060</v>
      </c>
      <c r="B680" s="14" t="s">
        <v>60</v>
      </c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 t="s">
        <v>953</v>
      </c>
      <c r="T680" s="14"/>
    </row>
    <row r="681" spans="1:20" x14ac:dyDescent="0.25">
      <c r="A681" s="14">
        <f t="shared" si="15"/>
        <v>10061</v>
      </c>
      <c r="B681" s="14" t="s">
        <v>61</v>
      </c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 t="s">
        <v>954</v>
      </c>
      <c r="T681" s="14"/>
    </row>
    <row r="682" spans="1:20" x14ac:dyDescent="0.25">
      <c r="A682" s="14">
        <f t="shared" si="15"/>
        <v>10062</v>
      </c>
      <c r="B682" s="14" t="s">
        <v>62</v>
      </c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 t="s">
        <v>955</v>
      </c>
      <c r="T682" s="14"/>
    </row>
    <row r="683" spans="1:20" x14ac:dyDescent="0.25">
      <c r="A683" s="14">
        <f t="shared" si="15"/>
        <v>10063</v>
      </c>
      <c r="B683" s="14" t="s">
        <v>79</v>
      </c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 t="s">
        <v>956</v>
      </c>
      <c r="T683" s="14"/>
    </row>
    <row r="684" spans="1:20" x14ac:dyDescent="0.25">
      <c r="A684" s="14">
        <f t="shared" si="15"/>
        <v>10064</v>
      </c>
      <c r="B684" s="14" t="s">
        <v>80</v>
      </c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 t="s">
        <v>957</v>
      </c>
      <c r="T684" s="14"/>
    </row>
    <row r="685" spans="1:20" x14ac:dyDescent="0.25">
      <c r="A685" s="14">
        <f t="shared" si="15"/>
        <v>10065</v>
      </c>
      <c r="B685" s="14" t="s">
        <v>154</v>
      </c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 t="s">
        <v>958</v>
      </c>
      <c r="T685" s="14"/>
    </row>
    <row r="686" spans="1:20" x14ac:dyDescent="0.25">
      <c r="A686" s="14">
        <f t="shared" ref="A686:A749" si="16">A685+1</f>
        <v>10066</v>
      </c>
      <c r="B686" s="14" t="s">
        <v>155</v>
      </c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 t="s">
        <v>959</v>
      </c>
      <c r="T686" s="14"/>
    </row>
    <row r="687" spans="1:20" x14ac:dyDescent="0.25">
      <c r="A687" s="14">
        <f t="shared" si="16"/>
        <v>10067</v>
      </c>
      <c r="B687" s="14" t="s">
        <v>156</v>
      </c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 t="s">
        <v>960</v>
      </c>
      <c r="T687" s="14" t="s">
        <v>961</v>
      </c>
    </row>
    <row r="688" spans="1:20" x14ac:dyDescent="0.25">
      <c r="A688" s="14">
        <f t="shared" si="16"/>
        <v>10068</v>
      </c>
      <c r="B688" s="14" t="s">
        <v>158</v>
      </c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 t="s">
        <v>962</v>
      </c>
      <c r="T688" s="14"/>
    </row>
    <row r="689" spans="1:20" x14ac:dyDescent="0.25">
      <c r="A689" s="14">
        <f t="shared" si="16"/>
        <v>10069</v>
      </c>
      <c r="B689" s="14" t="s">
        <v>159</v>
      </c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 t="s">
        <v>963</v>
      </c>
      <c r="T689" s="14"/>
    </row>
    <row r="690" spans="1:20" x14ac:dyDescent="0.25">
      <c r="A690" s="14">
        <f t="shared" si="16"/>
        <v>10070</v>
      </c>
      <c r="B690" s="14" t="s">
        <v>160</v>
      </c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 t="s">
        <v>964</v>
      </c>
      <c r="T690" s="14"/>
    </row>
    <row r="691" spans="1:20" x14ac:dyDescent="0.25">
      <c r="A691" s="14">
        <f t="shared" si="16"/>
        <v>10071</v>
      </c>
      <c r="B691" s="14" t="s">
        <v>161</v>
      </c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 t="s">
        <v>965</v>
      </c>
      <c r="T691" s="14"/>
    </row>
    <row r="692" spans="1:20" x14ac:dyDescent="0.25">
      <c r="A692" s="14">
        <f t="shared" si="16"/>
        <v>10072</v>
      </c>
      <c r="B692" s="14" t="s">
        <v>162</v>
      </c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 t="s">
        <v>966</v>
      </c>
      <c r="T692" s="14"/>
    </row>
    <row r="693" spans="1:20" x14ac:dyDescent="0.25">
      <c r="A693" s="14">
        <f t="shared" si="16"/>
        <v>10073</v>
      </c>
      <c r="B693" s="14" t="s">
        <v>163</v>
      </c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 t="s">
        <v>967</v>
      </c>
      <c r="T693" s="14"/>
    </row>
    <row r="694" spans="1:20" x14ac:dyDescent="0.25">
      <c r="A694" s="14">
        <f t="shared" si="16"/>
        <v>10074</v>
      </c>
      <c r="B694" s="14" t="s">
        <v>164</v>
      </c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 t="s">
        <v>968</v>
      </c>
      <c r="T694" s="14"/>
    </row>
    <row r="695" spans="1:20" x14ac:dyDescent="0.25">
      <c r="A695" s="14">
        <f t="shared" si="16"/>
        <v>10075</v>
      </c>
      <c r="B695" s="14" t="s">
        <v>165</v>
      </c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 t="s">
        <v>969</v>
      </c>
      <c r="T695" s="14"/>
    </row>
    <row r="696" spans="1:20" x14ac:dyDescent="0.25">
      <c r="A696" s="14">
        <f t="shared" si="16"/>
        <v>10076</v>
      </c>
      <c r="B696" s="14" t="s">
        <v>185</v>
      </c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 t="s">
        <v>970</v>
      </c>
      <c r="T696" s="14"/>
    </row>
    <row r="697" spans="1:20" x14ac:dyDescent="0.25">
      <c r="A697" s="14">
        <f t="shared" si="16"/>
        <v>10077</v>
      </c>
      <c r="B697" s="14" t="s">
        <v>166</v>
      </c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 t="s">
        <v>971</v>
      </c>
      <c r="T697" s="14"/>
    </row>
    <row r="698" spans="1:20" x14ac:dyDescent="0.25">
      <c r="A698" s="14">
        <f t="shared" si="16"/>
        <v>10078</v>
      </c>
      <c r="B698" s="14" t="s">
        <v>167</v>
      </c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 t="s">
        <v>972</v>
      </c>
      <c r="T698" s="14"/>
    </row>
    <row r="699" spans="1:20" x14ac:dyDescent="0.25">
      <c r="A699" s="14">
        <f t="shared" si="16"/>
        <v>10079</v>
      </c>
      <c r="B699" s="14" t="s">
        <v>168</v>
      </c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 t="s">
        <v>972</v>
      </c>
      <c r="T699" s="14"/>
    </row>
    <row r="700" spans="1:20" x14ac:dyDescent="0.25">
      <c r="A700" s="14">
        <f t="shared" si="16"/>
        <v>10080</v>
      </c>
      <c r="B700" s="14" t="s">
        <v>169</v>
      </c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 t="s">
        <v>972</v>
      </c>
      <c r="T700" s="14"/>
    </row>
    <row r="701" spans="1:20" x14ac:dyDescent="0.25">
      <c r="A701" s="14">
        <f t="shared" si="16"/>
        <v>10081</v>
      </c>
      <c r="B701" s="14" t="s">
        <v>170</v>
      </c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 t="s">
        <v>972</v>
      </c>
      <c r="T701" s="14"/>
    </row>
    <row r="702" spans="1:20" x14ac:dyDescent="0.25">
      <c r="A702" s="14">
        <f t="shared" si="16"/>
        <v>10082</v>
      </c>
      <c r="B702" s="14" t="s">
        <v>171</v>
      </c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 t="s">
        <v>972</v>
      </c>
      <c r="T702" s="14"/>
    </row>
    <row r="703" spans="1:20" x14ac:dyDescent="0.25">
      <c r="A703" s="14">
        <f t="shared" si="16"/>
        <v>10083</v>
      </c>
      <c r="B703" s="14" t="s">
        <v>172</v>
      </c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 t="s">
        <v>973</v>
      </c>
      <c r="T703" s="14"/>
    </row>
    <row r="704" spans="1:20" x14ac:dyDescent="0.25">
      <c r="A704" s="14">
        <f t="shared" si="16"/>
        <v>10084</v>
      </c>
      <c r="B704" s="14" t="s">
        <v>173</v>
      </c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 t="s">
        <v>974</v>
      </c>
      <c r="T704" s="14"/>
    </row>
    <row r="705" spans="1:20" x14ac:dyDescent="0.25">
      <c r="A705" s="14">
        <f t="shared" si="16"/>
        <v>10085</v>
      </c>
      <c r="B705" s="14" t="s">
        <v>174</v>
      </c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 t="s">
        <v>975</v>
      </c>
      <c r="T705" s="14"/>
    </row>
    <row r="706" spans="1:20" x14ac:dyDescent="0.25">
      <c r="A706" s="14">
        <f t="shared" si="16"/>
        <v>10086</v>
      </c>
      <c r="B706" s="14" t="s">
        <v>175</v>
      </c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 t="s">
        <v>976</v>
      </c>
      <c r="T706" s="14"/>
    </row>
    <row r="707" spans="1:20" x14ac:dyDescent="0.25">
      <c r="A707" s="14">
        <f t="shared" si="16"/>
        <v>10087</v>
      </c>
      <c r="B707" s="14" t="s">
        <v>176</v>
      </c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 t="s">
        <v>977</v>
      </c>
      <c r="T707" s="14"/>
    </row>
    <row r="708" spans="1:20" x14ac:dyDescent="0.25">
      <c r="A708" s="14">
        <f t="shared" si="16"/>
        <v>10088</v>
      </c>
      <c r="B708" s="14" t="s">
        <v>177</v>
      </c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 t="s">
        <v>978</v>
      </c>
      <c r="T708" s="14"/>
    </row>
    <row r="709" spans="1:20" x14ac:dyDescent="0.25">
      <c r="A709" s="14">
        <f t="shared" si="16"/>
        <v>10089</v>
      </c>
      <c r="B709" s="14" t="s">
        <v>178</v>
      </c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 t="s">
        <v>979</v>
      </c>
      <c r="T709" s="14"/>
    </row>
    <row r="710" spans="1:20" x14ac:dyDescent="0.25">
      <c r="A710" s="14">
        <f t="shared" si="16"/>
        <v>10090</v>
      </c>
      <c r="B710" s="14" t="s">
        <v>179</v>
      </c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 t="s">
        <v>980</v>
      </c>
      <c r="T710" s="14"/>
    </row>
    <row r="711" spans="1:20" x14ac:dyDescent="0.25">
      <c r="A711" s="14">
        <f t="shared" si="16"/>
        <v>10091</v>
      </c>
      <c r="B711" s="14" t="s">
        <v>180</v>
      </c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 t="s">
        <v>981</v>
      </c>
      <c r="T711" s="14"/>
    </row>
    <row r="712" spans="1:20" x14ac:dyDescent="0.25">
      <c r="A712" s="14">
        <f t="shared" si="16"/>
        <v>10092</v>
      </c>
      <c r="B712" s="14" t="s">
        <v>181</v>
      </c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 t="s">
        <v>982</v>
      </c>
      <c r="T712" s="14"/>
    </row>
    <row r="713" spans="1:20" x14ac:dyDescent="0.25">
      <c r="A713" s="14">
        <f t="shared" si="16"/>
        <v>10093</v>
      </c>
      <c r="B713" s="14" t="s">
        <v>182</v>
      </c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 t="s">
        <v>983</v>
      </c>
      <c r="T713" s="14"/>
    </row>
    <row r="714" spans="1:20" x14ac:dyDescent="0.25">
      <c r="A714" s="14">
        <f t="shared" si="16"/>
        <v>10094</v>
      </c>
      <c r="B714" s="14" t="s">
        <v>183</v>
      </c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 t="s">
        <v>984</v>
      </c>
      <c r="T714" s="14"/>
    </row>
    <row r="715" spans="1:20" x14ac:dyDescent="0.25">
      <c r="A715" s="14">
        <f t="shared" si="16"/>
        <v>10095</v>
      </c>
      <c r="B715" s="14" t="s">
        <v>184</v>
      </c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 t="s">
        <v>985</v>
      </c>
      <c r="T715" s="14"/>
    </row>
    <row r="716" spans="1:20" x14ac:dyDescent="0.25">
      <c r="A716" s="14">
        <f t="shared" si="16"/>
        <v>10096</v>
      </c>
      <c r="B716" s="14" t="s">
        <v>186</v>
      </c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 t="s">
        <v>986</v>
      </c>
      <c r="T716" s="14"/>
    </row>
    <row r="717" spans="1:20" x14ac:dyDescent="0.25">
      <c r="A717" s="14">
        <f t="shared" si="16"/>
        <v>10097</v>
      </c>
      <c r="B717" s="14" t="s">
        <v>187</v>
      </c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 t="s">
        <v>987</v>
      </c>
      <c r="T717" s="14"/>
    </row>
    <row r="718" spans="1:20" x14ac:dyDescent="0.25">
      <c r="A718" s="14">
        <f t="shared" si="16"/>
        <v>10098</v>
      </c>
      <c r="B718" s="14" t="s">
        <v>188</v>
      </c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 t="s">
        <v>988</v>
      </c>
      <c r="T718" s="14"/>
    </row>
    <row r="719" spans="1:20" x14ac:dyDescent="0.25">
      <c r="A719" s="14">
        <f t="shared" si="16"/>
        <v>10099</v>
      </c>
      <c r="B719" s="14" t="s">
        <v>189</v>
      </c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 t="s">
        <v>989</v>
      </c>
      <c r="T719" s="14"/>
    </row>
    <row r="720" spans="1:20" x14ac:dyDescent="0.25">
      <c r="A720" s="14">
        <f t="shared" si="16"/>
        <v>10100</v>
      </c>
      <c r="B720" s="14" t="s">
        <v>190</v>
      </c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 t="s">
        <v>990</v>
      </c>
      <c r="T720" s="14"/>
    </row>
    <row r="721" spans="1:20" x14ac:dyDescent="0.25">
      <c r="A721" s="14">
        <f t="shared" si="16"/>
        <v>10101</v>
      </c>
      <c r="B721" s="14" t="s">
        <v>191</v>
      </c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 t="s">
        <v>991</v>
      </c>
      <c r="T721" s="14"/>
    </row>
    <row r="722" spans="1:20" x14ac:dyDescent="0.25">
      <c r="A722" s="14">
        <f t="shared" si="16"/>
        <v>10102</v>
      </c>
      <c r="B722" s="14" t="s">
        <v>192</v>
      </c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 t="s">
        <v>992</v>
      </c>
      <c r="T722" s="14"/>
    </row>
    <row r="723" spans="1:20" x14ac:dyDescent="0.25">
      <c r="A723" s="14">
        <f t="shared" si="16"/>
        <v>10103</v>
      </c>
      <c r="B723" s="14" t="s">
        <v>193</v>
      </c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 t="s">
        <v>993</v>
      </c>
      <c r="T723" s="14"/>
    </row>
    <row r="724" spans="1:20" x14ac:dyDescent="0.25">
      <c r="A724" s="14">
        <f t="shared" si="16"/>
        <v>10104</v>
      </c>
      <c r="B724" s="14" t="s">
        <v>194</v>
      </c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 t="s">
        <v>994</v>
      </c>
      <c r="T724" s="14"/>
    </row>
    <row r="725" spans="1:20" x14ac:dyDescent="0.25">
      <c r="A725" s="14">
        <f t="shared" si="16"/>
        <v>10105</v>
      </c>
      <c r="B725" s="14" t="s">
        <v>195</v>
      </c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 t="s">
        <v>995</v>
      </c>
      <c r="T725" s="14"/>
    </row>
    <row r="726" spans="1:20" x14ac:dyDescent="0.25">
      <c r="A726" s="14">
        <f t="shared" si="16"/>
        <v>10106</v>
      </c>
      <c r="B726" s="14" t="s">
        <v>196</v>
      </c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 t="s">
        <v>996</v>
      </c>
      <c r="T726" s="14"/>
    </row>
    <row r="727" spans="1:20" x14ac:dyDescent="0.25">
      <c r="A727" s="14">
        <f t="shared" si="16"/>
        <v>10107</v>
      </c>
      <c r="B727" s="14" t="s">
        <v>197</v>
      </c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 t="s">
        <v>997</v>
      </c>
      <c r="T727" s="14"/>
    </row>
    <row r="728" spans="1:20" x14ac:dyDescent="0.25">
      <c r="A728" s="14">
        <f t="shared" si="16"/>
        <v>10108</v>
      </c>
      <c r="B728" s="14" t="s">
        <v>1795</v>
      </c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 t="s">
        <v>998</v>
      </c>
      <c r="T728" s="14"/>
    </row>
    <row r="729" spans="1:20" x14ac:dyDescent="0.25">
      <c r="A729" s="14">
        <f t="shared" si="16"/>
        <v>10109</v>
      </c>
      <c r="B729" s="14" t="s">
        <v>198</v>
      </c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 t="s">
        <v>999</v>
      </c>
      <c r="T729" s="14"/>
    </row>
    <row r="730" spans="1:20" x14ac:dyDescent="0.25">
      <c r="A730" s="14">
        <f t="shared" si="16"/>
        <v>10110</v>
      </c>
      <c r="B730" s="14" t="s">
        <v>199</v>
      </c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 t="s">
        <v>790</v>
      </c>
      <c r="T730" s="14"/>
    </row>
    <row r="731" spans="1:20" x14ac:dyDescent="0.25">
      <c r="A731" s="14">
        <f t="shared" si="16"/>
        <v>10111</v>
      </c>
      <c r="B731" s="14" t="s">
        <v>200</v>
      </c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 t="s">
        <v>791</v>
      </c>
      <c r="T731" s="14"/>
    </row>
    <row r="732" spans="1:20" x14ac:dyDescent="0.25">
      <c r="A732" s="14">
        <f t="shared" si="16"/>
        <v>10112</v>
      </c>
      <c r="B732" s="14" t="s">
        <v>201</v>
      </c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 t="s">
        <v>792</v>
      </c>
      <c r="T732" s="14"/>
    </row>
    <row r="733" spans="1:20" x14ac:dyDescent="0.25">
      <c r="A733" s="14">
        <f t="shared" si="16"/>
        <v>10113</v>
      </c>
      <c r="B733" s="14" t="s">
        <v>202</v>
      </c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 t="s">
        <v>793</v>
      </c>
      <c r="T733" s="14"/>
    </row>
    <row r="734" spans="1:20" x14ac:dyDescent="0.25">
      <c r="A734" s="14">
        <f t="shared" si="16"/>
        <v>10114</v>
      </c>
      <c r="B734" s="14" t="s">
        <v>203</v>
      </c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 t="s">
        <v>794</v>
      </c>
      <c r="T734" s="14"/>
    </row>
    <row r="735" spans="1:20" x14ac:dyDescent="0.25">
      <c r="A735" s="14">
        <f t="shared" si="16"/>
        <v>10115</v>
      </c>
      <c r="B735" s="14" t="s">
        <v>204</v>
      </c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 t="s">
        <v>1000</v>
      </c>
      <c r="T735" s="14"/>
    </row>
    <row r="736" spans="1:20" x14ac:dyDescent="0.25">
      <c r="A736" s="14">
        <f t="shared" si="16"/>
        <v>10116</v>
      </c>
      <c r="B736" s="14" t="s">
        <v>205</v>
      </c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 t="s">
        <v>1000</v>
      </c>
      <c r="T736" s="14"/>
    </row>
    <row r="737" spans="1:20" x14ac:dyDescent="0.25">
      <c r="A737" s="14">
        <f t="shared" si="16"/>
        <v>10117</v>
      </c>
      <c r="B737" s="14" t="s">
        <v>206</v>
      </c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 t="s">
        <v>1000</v>
      </c>
      <c r="T737" s="14"/>
    </row>
    <row r="738" spans="1:20" x14ac:dyDescent="0.25">
      <c r="A738" s="14">
        <f t="shared" si="16"/>
        <v>10118</v>
      </c>
      <c r="B738" s="14" t="s">
        <v>207</v>
      </c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 t="s">
        <v>1001</v>
      </c>
      <c r="T738" s="14"/>
    </row>
    <row r="739" spans="1:20" x14ac:dyDescent="0.25">
      <c r="A739" s="14">
        <f t="shared" si="16"/>
        <v>10119</v>
      </c>
      <c r="B739" s="14" t="s">
        <v>208</v>
      </c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 t="s">
        <v>1002</v>
      </c>
      <c r="T739" s="14"/>
    </row>
    <row r="740" spans="1:20" x14ac:dyDescent="0.25">
      <c r="A740" s="14">
        <f t="shared" si="16"/>
        <v>10120</v>
      </c>
      <c r="B740" s="14" t="s">
        <v>209</v>
      </c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 t="s">
        <v>1003</v>
      </c>
      <c r="T740" s="14"/>
    </row>
    <row r="741" spans="1:20" x14ac:dyDescent="0.25">
      <c r="A741" s="14">
        <f t="shared" si="16"/>
        <v>10121</v>
      </c>
      <c r="B741" s="14" t="s">
        <v>210</v>
      </c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 t="s">
        <v>1004</v>
      </c>
      <c r="T741" s="14"/>
    </row>
    <row r="742" spans="1:20" x14ac:dyDescent="0.25">
      <c r="A742" s="14">
        <f t="shared" si="16"/>
        <v>10122</v>
      </c>
      <c r="B742" s="14" t="s">
        <v>563</v>
      </c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 t="s">
        <v>1005</v>
      </c>
      <c r="T742" s="14"/>
    </row>
    <row r="743" spans="1:20" x14ac:dyDescent="0.25">
      <c r="A743" s="14">
        <f t="shared" si="16"/>
        <v>10123</v>
      </c>
      <c r="B743" s="14" t="s">
        <v>564</v>
      </c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 t="s">
        <v>1006</v>
      </c>
      <c r="T743" s="14"/>
    </row>
    <row r="744" spans="1:20" x14ac:dyDescent="0.25">
      <c r="A744" s="14">
        <f t="shared" si="16"/>
        <v>10124</v>
      </c>
      <c r="B744" s="14" t="s">
        <v>565</v>
      </c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 t="s">
        <v>1007</v>
      </c>
      <c r="T744" s="14"/>
    </row>
    <row r="745" spans="1:20" x14ac:dyDescent="0.25">
      <c r="A745" s="14">
        <f t="shared" si="16"/>
        <v>10125</v>
      </c>
      <c r="B745" s="14" t="s">
        <v>566</v>
      </c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 t="s">
        <v>1008</v>
      </c>
      <c r="T745" s="14"/>
    </row>
    <row r="746" spans="1:20" x14ac:dyDescent="0.25">
      <c r="A746" s="14">
        <f t="shared" si="16"/>
        <v>10126</v>
      </c>
      <c r="B746" s="14" t="s">
        <v>567</v>
      </c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 t="s">
        <v>1009</v>
      </c>
      <c r="T746" s="14"/>
    </row>
    <row r="747" spans="1:20" x14ac:dyDescent="0.25">
      <c r="A747" s="14">
        <f t="shared" si="16"/>
        <v>10127</v>
      </c>
      <c r="B747" s="14" t="s">
        <v>568</v>
      </c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 t="s">
        <v>1010</v>
      </c>
      <c r="T747" s="14"/>
    </row>
    <row r="748" spans="1:20" x14ac:dyDescent="0.25">
      <c r="A748" s="14">
        <f t="shared" si="16"/>
        <v>10128</v>
      </c>
      <c r="B748" s="14" t="s">
        <v>569</v>
      </c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 t="s">
        <v>1011</v>
      </c>
      <c r="T748" s="14"/>
    </row>
    <row r="749" spans="1:20" x14ac:dyDescent="0.25">
      <c r="A749" s="14">
        <f t="shared" si="16"/>
        <v>10129</v>
      </c>
      <c r="B749" s="14" t="s">
        <v>570</v>
      </c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 t="s">
        <v>1012</v>
      </c>
      <c r="T749" s="14"/>
    </row>
    <row r="750" spans="1:20" x14ac:dyDescent="0.25">
      <c r="A750" s="14">
        <f t="shared" ref="A750:A813" si="17">A749+1</f>
        <v>10130</v>
      </c>
      <c r="B750" s="14" t="s">
        <v>558</v>
      </c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 t="s">
        <v>1013</v>
      </c>
      <c r="T750" s="14"/>
    </row>
    <row r="751" spans="1:20" x14ac:dyDescent="0.25">
      <c r="A751" s="14">
        <f t="shared" si="17"/>
        <v>10131</v>
      </c>
      <c r="B751" s="14" t="s">
        <v>434</v>
      </c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 t="s">
        <v>1014</v>
      </c>
      <c r="T751" s="14"/>
    </row>
    <row r="752" spans="1:20" x14ac:dyDescent="0.25">
      <c r="A752" s="14">
        <f t="shared" si="17"/>
        <v>10132</v>
      </c>
      <c r="B752" s="14" t="s">
        <v>452</v>
      </c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 t="s">
        <v>1015</v>
      </c>
      <c r="T752" s="14"/>
    </row>
    <row r="753" spans="1:20" x14ac:dyDescent="0.25">
      <c r="A753" s="14">
        <f t="shared" si="17"/>
        <v>10133</v>
      </c>
      <c r="B753" s="14" t="s">
        <v>453</v>
      </c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 t="s">
        <v>1016</v>
      </c>
      <c r="T753" s="14"/>
    </row>
    <row r="754" spans="1:20" x14ac:dyDescent="0.25">
      <c r="A754" s="14">
        <f t="shared" si="17"/>
        <v>10134</v>
      </c>
      <c r="B754" s="14" t="s">
        <v>456</v>
      </c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 t="s">
        <v>1017</v>
      </c>
      <c r="T754" s="14"/>
    </row>
    <row r="755" spans="1:20" x14ac:dyDescent="0.25">
      <c r="A755" s="14">
        <f t="shared" si="17"/>
        <v>10135</v>
      </c>
      <c r="B755" s="14" t="s">
        <v>459</v>
      </c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 t="s">
        <v>1018</v>
      </c>
      <c r="T755" s="14"/>
    </row>
    <row r="756" spans="1:20" x14ac:dyDescent="0.25">
      <c r="A756" s="14">
        <f t="shared" si="17"/>
        <v>10136</v>
      </c>
      <c r="B756" s="14" t="s">
        <v>462</v>
      </c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 t="s">
        <v>1019</v>
      </c>
      <c r="T756" s="14"/>
    </row>
    <row r="757" spans="1:20" x14ac:dyDescent="0.25">
      <c r="A757" s="14">
        <f t="shared" si="17"/>
        <v>10137</v>
      </c>
      <c r="B757" s="14" t="s">
        <v>492</v>
      </c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 t="s">
        <v>1020</v>
      </c>
      <c r="T757" s="14"/>
    </row>
    <row r="758" spans="1:20" x14ac:dyDescent="0.25">
      <c r="A758" s="14">
        <f t="shared" si="17"/>
        <v>10138</v>
      </c>
      <c r="B758" s="14" t="s">
        <v>519</v>
      </c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 t="s">
        <v>1021</v>
      </c>
      <c r="T758" s="14"/>
    </row>
    <row r="759" spans="1:20" x14ac:dyDescent="0.25">
      <c r="A759" s="14">
        <f t="shared" si="17"/>
        <v>10139</v>
      </c>
      <c r="B759" s="14" t="s">
        <v>525</v>
      </c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 t="s">
        <v>1022</v>
      </c>
      <c r="T759" s="14"/>
    </row>
    <row r="760" spans="1:20" x14ac:dyDescent="0.25">
      <c r="A760" s="14">
        <f t="shared" si="17"/>
        <v>10140</v>
      </c>
      <c r="B760" s="14" t="s">
        <v>528</v>
      </c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 t="s">
        <v>1023</v>
      </c>
      <c r="T760" s="14"/>
    </row>
    <row r="761" spans="1:20" x14ac:dyDescent="0.25">
      <c r="A761" s="14">
        <f t="shared" si="17"/>
        <v>10141</v>
      </c>
      <c r="B761" s="14" t="s">
        <v>561</v>
      </c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 t="s">
        <v>1024</v>
      </c>
      <c r="T761" s="14"/>
    </row>
    <row r="762" spans="1:20" x14ac:dyDescent="0.25">
      <c r="A762" s="14">
        <f t="shared" si="17"/>
        <v>10142</v>
      </c>
      <c r="B762" s="14" t="s">
        <v>560</v>
      </c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 t="s">
        <v>1025</v>
      </c>
      <c r="T762" s="14"/>
    </row>
    <row r="763" spans="1:20" x14ac:dyDescent="0.25">
      <c r="A763" s="14">
        <f t="shared" si="17"/>
        <v>10143</v>
      </c>
      <c r="B763" s="14" t="s">
        <v>531</v>
      </c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 t="s">
        <v>1026</v>
      </c>
      <c r="T763" s="14"/>
    </row>
    <row r="764" spans="1:20" x14ac:dyDescent="0.25">
      <c r="A764" s="14">
        <f t="shared" si="17"/>
        <v>10144</v>
      </c>
      <c r="B764" s="14" t="s">
        <v>533</v>
      </c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 t="s">
        <v>1027</v>
      </c>
      <c r="T764" s="14"/>
    </row>
    <row r="765" spans="1:20" x14ac:dyDescent="0.25">
      <c r="A765" s="14">
        <f t="shared" si="17"/>
        <v>10145</v>
      </c>
      <c r="B765" s="14" t="s">
        <v>535</v>
      </c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 t="s">
        <v>1028</v>
      </c>
      <c r="T765" s="14"/>
    </row>
    <row r="766" spans="1:20" x14ac:dyDescent="0.25">
      <c r="A766" s="14">
        <f t="shared" si="17"/>
        <v>10146</v>
      </c>
      <c r="B766" s="14" t="s">
        <v>536</v>
      </c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 t="s">
        <v>1029</v>
      </c>
      <c r="T766" s="14"/>
    </row>
    <row r="767" spans="1:20" x14ac:dyDescent="0.25">
      <c r="A767" s="14">
        <f t="shared" si="17"/>
        <v>10147</v>
      </c>
      <c r="B767" s="14" t="s">
        <v>1796</v>
      </c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 t="s">
        <v>1029</v>
      </c>
      <c r="T767" s="14"/>
    </row>
    <row r="768" spans="1:20" x14ac:dyDescent="0.25">
      <c r="A768" s="14">
        <f t="shared" si="17"/>
        <v>10148</v>
      </c>
      <c r="B768" s="14" t="s">
        <v>538</v>
      </c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 t="s">
        <v>1030</v>
      </c>
      <c r="T768" s="14"/>
    </row>
    <row r="769" spans="1:20" x14ac:dyDescent="0.25">
      <c r="A769" s="14">
        <f t="shared" si="17"/>
        <v>10149</v>
      </c>
      <c r="B769" s="14" t="s">
        <v>1797</v>
      </c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 t="s">
        <v>1031</v>
      </c>
      <c r="T769" s="14"/>
    </row>
    <row r="770" spans="1:20" x14ac:dyDescent="0.25">
      <c r="A770" s="14">
        <f t="shared" si="17"/>
        <v>10150</v>
      </c>
      <c r="B770" s="14" t="s">
        <v>375</v>
      </c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 t="s">
        <v>1032</v>
      </c>
      <c r="T770" s="14"/>
    </row>
    <row r="771" spans="1:20" x14ac:dyDescent="0.25">
      <c r="A771" s="14">
        <f t="shared" si="17"/>
        <v>10151</v>
      </c>
      <c r="B771" s="14" t="s">
        <v>377</v>
      </c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 t="s">
        <v>1033</v>
      </c>
      <c r="T771" s="14"/>
    </row>
    <row r="772" spans="1:20" x14ac:dyDescent="0.25">
      <c r="A772" s="14">
        <f t="shared" si="17"/>
        <v>10152</v>
      </c>
      <c r="B772" s="14" t="s">
        <v>1798</v>
      </c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 t="s">
        <v>1034</v>
      </c>
      <c r="T772" s="14"/>
    </row>
    <row r="773" spans="1:20" x14ac:dyDescent="0.25">
      <c r="A773" s="14">
        <f t="shared" si="17"/>
        <v>10153</v>
      </c>
      <c r="B773" s="14" t="s">
        <v>1799</v>
      </c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 t="s">
        <v>1035</v>
      </c>
      <c r="T773" s="14"/>
    </row>
    <row r="774" spans="1:20" x14ac:dyDescent="0.25">
      <c r="A774" s="14">
        <f t="shared" si="17"/>
        <v>10154</v>
      </c>
      <c r="B774" s="14" t="s">
        <v>1800</v>
      </c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 t="s">
        <v>1036</v>
      </c>
      <c r="T774" s="14"/>
    </row>
    <row r="775" spans="1:20" x14ac:dyDescent="0.25">
      <c r="A775" s="14">
        <f t="shared" si="17"/>
        <v>10155</v>
      </c>
      <c r="B775" s="14" t="s">
        <v>1801</v>
      </c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 t="s">
        <v>1037</v>
      </c>
      <c r="T775" s="14"/>
    </row>
    <row r="776" spans="1:20" x14ac:dyDescent="0.25">
      <c r="A776" s="14">
        <f t="shared" si="17"/>
        <v>10156</v>
      </c>
      <c r="B776" s="14" t="s">
        <v>1802</v>
      </c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 t="s">
        <v>1038</v>
      </c>
      <c r="T776" s="14"/>
    </row>
    <row r="777" spans="1:20" x14ac:dyDescent="0.25">
      <c r="A777" s="14">
        <f t="shared" si="17"/>
        <v>10157</v>
      </c>
      <c r="B777" s="14" t="s">
        <v>1803</v>
      </c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 t="s">
        <v>1039</v>
      </c>
      <c r="T777" s="14"/>
    </row>
    <row r="778" spans="1:20" x14ac:dyDescent="0.25">
      <c r="A778" s="14">
        <f t="shared" si="17"/>
        <v>10158</v>
      </c>
      <c r="B778" s="14" t="s">
        <v>1804</v>
      </c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 t="s">
        <v>1040</v>
      </c>
      <c r="T778" s="14"/>
    </row>
    <row r="779" spans="1:20" x14ac:dyDescent="0.25">
      <c r="A779" s="14">
        <f t="shared" si="17"/>
        <v>10159</v>
      </c>
      <c r="B779" s="14" t="s">
        <v>1805</v>
      </c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 t="s">
        <v>1041</v>
      </c>
      <c r="T779" s="14"/>
    </row>
    <row r="780" spans="1:20" x14ac:dyDescent="0.25">
      <c r="A780" s="14">
        <f t="shared" si="17"/>
        <v>10160</v>
      </c>
      <c r="B780" s="14" t="s">
        <v>1806</v>
      </c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 t="s">
        <v>1042</v>
      </c>
      <c r="T780" s="14"/>
    </row>
    <row r="781" spans="1:20" x14ac:dyDescent="0.25">
      <c r="A781" s="14">
        <f t="shared" si="17"/>
        <v>10161</v>
      </c>
      <c r="B781" s="14" t="s">
        <v>1807</v>
      </c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 t="s">
        <v>1043</v>
      </c>
      <c r="T781" s="14"/>
    </row>
    <row r="782" spans="1:20" x14ac:dyDescent="0.25">
      <c r="A782" s="14">
        <f t="shared" si="17"/>
        <v>10162</v>
      </c>
      <c r="B782" s="14" t="s">
        <v>1808</v>
      </c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 t="s">
        <v>1044</v>
      </c>
      <c r="T782" s="14"/>
    </row>
    <row r="783" spans="1:20" x14ac:dyDescent="0.25">
      <c r="A783" s="14">
        <f t="shared" si="17"/>
        <v>10163</v>
      </c>
      <c r="B783" s="14" t="s">
        <v>1809</v>
      </c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 t="s">
        <v>1045</v>
      </c>
      <c r="T783" s="14"/>
    </row>
    <row r="784" spans="1:20" x14ac:dyDescent="0.25">
      <c r="A784" s="14">
        <f t="shared" si="17"/>
        <v>10164</v>
      </c>
      <c r="B784" s="14" t="s">
        <v>1810</v>
      </c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 t="s">
        <v>1046</v>
      </c>
      <c r="T784" s="14"/>
    </row>
    <row r="785" spans="1:20" x14ac:dyDescent="0.25">
      <c r="A785" s="14">
        <f t="shared" si="17"/>
        <v>10165</v>
      </c>
      <c r="B785" s="14" t="s">
        <v>1811</v>
      </c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 t="s">
        <v>1047</v>
      </c>
      <c r="T785" s="14"/>
    </row>
    <row r="786" spans="1:20" x14ac:dyDescent="0.25">
      <c r="A786" s="14">
        <f t="shared" si="17"/>
        <v>10166</v>
      </c>
      <c r="B786" s="14" t="s">
        <v>1812</v>
      </c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 t="s">
        <v>1048</v>
      </c>
      <c r="T786" s="14"/>
    </row>
    <row r="787" spans="1:20" x14ac:dyDescent="0.25">
      <c r="A787" s="14">
        <f t="shared" si="17"/>
        <v>10167</v>
      </c>
      <c r="B787" s="14" t="s">
        <v>1813</v>
      </c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 t="s">
        <v>1049</v>
      </c>
      <c r="T787" s="14"/>
    </row>
    <row r="788" spans="1:20" x14ac:dyDescent="0.25">
      <c r="A788" s="14">
        <f t="shared" si="17"/>
        <v>10168</v>
      </c>
      <c r="B788" s="14" t="s">
        <v>1814</v>
      </c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 t="s">
        <v>1050</v>
      </c>
      <c r="T788" s="14"/>
    </row>
    <row r="789" spans="1:20" x14ac:dyDescent="0.25">
      <c r="A789" s="14">
        <f t="shared" si="17"/>
        <v>10169</v>
      </c>
      <c r="B789" s="14" t="s">
        <v>1815</v>
      </c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 t="s">
        <v>1051</v>
      </c>
      <c r="T789" s="14"/>
    </row>
    <row r="790" spans="1:20" x14ac:dyDescent="0.25">
      <c r="A790" s="14">
        <f t="shared" si="17"/>
        <v>10170</v>
      </c>
      <c r="B790" s="14" t="s">
        <v>1816</v>
      </c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 t="s">
        <v>1052</v>
      </c>
      <c r="T790" s="14"/>
    </row>
    <row r="791" spans="1:20" x14ac:dyDescent="0.25">
      <c r="A791" s="14">
        <f t="shared" si="17"/>
        <v>10171</v>
      </c>
      <c r="B791" s="14" t="s">
        <v>1817</v>
      </c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 t="s">
        <v>1053</v>
      </c>
      <c r="T791" s="14"/>
    </row>
    <row r="792" spans="1:20" x14ac:dyDescent="0.25">
      <c r="A792" s="14">
        <f t="shared" si="17"/>
        <v>10172</v>
      </c>
      <c r="B792" s="14" t="s">
        <v>1818</v>
      </c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 t="s">
        <v>1054</v>
      </c>
      <c r="T792" s="14"/>
    </row>
    <row r="793" spans="1:20" x14ac:dyDescent="0.25">
      <c r="A793" s="14">
        <f t="shared" si="17"/>
        <v>10173</v>
      </c>
      <c r="B793" s="14" t="s">
        <v>1819</v>
      </c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 t="s">
        <v>1055</v>
      </c>
      <c r="T793" s="14"/>
    </row>
    <row r="794" spans="1:20" x14ac:dyDescent="0.25">
      <c r="A794" s="14">
        <f t="shared" si="17"/>
        <v>10174</v>
      </c>
      <c r="B794" s="14" t="s">
        <v>1820</v>
      </c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 t="s">
        <v>1056</v>
      </c>
      <c r="T794" s="14"/>
    </row>
    <row r="795" spans="1:20" x14ac:dyDescent="0.25">
      <c r="A795" s="14">
        <f t="shared" si="17"/>
        <v>10175</v>
      </c>
      <c r="B795" s="14" t="s">
        <v>1821</v>
      </c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 t="s">
        <v>1057</v>
      </c>
      <c r="T795" s="14"/>
    </row>
    <row r="796" spans="1:20" x14ac:dyDescent="0.25">
      <c r="A796" s="14">
        <f t="shared" si="17"/>
        <v>10176</v>
      </c>
      <c r="B796" s="14" t="s">
        <v>1822</v>
      </c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 t="s">
        <v>1058</v>
      </c>
      <c r="T796" s="14"/>
    </row>
    <row r="797" spans="1:20" x14ac:dyDescent="0.25">
      <c r="A797" s="14">
        <f t="shared" si="17"/>
        <v>10177</v>
      </c>
      <c r="B797" s="14" t="s">
        <v>1823</v>
      </c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 t="s">
        <v>1059</v>
      </c>
      <c r="T797" s="14"/>
    </row>
    <row r="798" spans="1:20" x14ac:dyDescent="0.25">
      <c r="A798" s="14">
        <f t="shared" si="17"/>
        <v>10178</v>
      </c>
      <c r="B798" s="14" t="s">
        <v>1824</v>
      </c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 t="s">
        <v>1060</v>
      </c>
      <c r="T798" s="14"/>
    </row>
    <row r="799" spans="1:20" x14ac:dyDescent="0.25">
      <c r="A799" s="14">
        <f t="shared" si="17"/>
        <v>10179</v>
      </c>
      <c r="B799" s="14" t="s">
        <v>1825</v>
      </c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 t="s">
        <v>1061</v>
      </c>
      <c r="T799" s="14"/>
    </row>
    <row r="800" spans="1:20" x14ac:dyDescent="0.25">
      <c r="A800" s="14">
        <f t="shared" si="17"/>
        <v>10180</v>
      </c>
      <c r="B800" s="14" t="s">
        <v>1826</v>
      </c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 t="s">
        <v>1062</v>
      </c>
      <c r="T800" s="14"/>
    </row>
    <row r="801" spans="1:20" x14ac:dyDescent="0.25">
      <c r="A801" s="14">
        <f t="shared" si="17"/>
        <v>10181</v>
      </c>
      <c r="B801" s="14" t="s">
        <v>1827</v>
      </c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 t="s">
        <v>1063</v>
      </c>
      <c r="T801" s="14"/>
    </row>
    <row r="802" spans="1:20" x14ac:dyDescent="0.25">
      <c r="A802" s="14">
        <f t="shared" si="17"/>
        <v>10182</v>
      </c>
      <c r="B802" s="14" t="s">
        <v>1828</v>
      </c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 t="s">
        <v>1064</v>
      </c>
      <c r="T802" s="14"/>
    </row>
    <row r="803" spans="1:20" x14ac:dyDescent="0.25">
      <c r="A803" s="14">
        <f t="shared" si="17"/>
        <v>10183</v>
      </c>
      <c r="B803" s="14" t="s">
        <v>1829</v>
      </c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 t="s">
        <v>1065</v>
      </c>
      <c r="T803" s="14"/>
    </row>
    <row r="804" spans="1:20" x14ac:dyDescent="0.25">
      <c r="A804" s="14">
        <f t="shared" si="17"/>
        <v>10184</v>
      </c>
      <c r="B804" s="14" t="s">
        <v>1830</v>
      </c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 t="s">
        <v>1066</v>
      </c>
      <c r="T804" s="14"/>
    </row>
    <row r="805" spans="1:20" x14ac:dyDescent="0.25">
      <c r="A805" s="14">
        <f t="shared" si="17"/>
        <v>10185</v>
      </c>
      <c r="B805" s="14" t="s">
        <v>1831</v>
      </c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 t="s">
        <v>1067</v>
      </c>
      <c r="T805" s="14"/>
    </row>
    <row r="806" spans="1:20" x14ac:dyDescent="0.25">
      <c r="A806" s="14">
        <f t="shared" si="17"/>
        <v>10186</v>
      </c>
      <c r="B806" s="14" t="s">
        <v>1832</v>
      </c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 t="s">
        <v>1068</v>
      </c>
      <c r="T806" s="14"/>
    </row>
    <row r="807" spans="1:20" x14ac:dyDescent="0.25">
      <c r="A807" s="14">
        <f t="shared" si="17"/>
        <v>10187</v>
      </c>
      <c r="B807" s="14" t="s">
        <v>1833</v>
      </c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 t="s">
        <v>1069</v>
      </c>
      <c r="T807" s="14"/>
    </row>
    <row r="808" spans="1:20" x14ac:dyDescent="0.25">
      <c r="A808" s="14">
        <f t="shared" si="17"/>
        <v>10188</v>
      </c>
      <c r="B808" s="14" t="s">
        <v>1834</v>
      </c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 t="s">
        <v>1070</v>
      </c>
      <c r="T808" s="14"/>
    </row>
    <row r="809" spans="1:20" x14ac:dyDescent="0.25">
      <c r="A809" s="14">
        <f t="shared" si="17"/>
        <v>10189</v>
      </c>
      <c r="B809" s="14" t="s">
        <v>1835</v>
      </c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 t="s">
        <v>1071</v>
      </c>
      <c r="T809" s="14"/>
    </row>
    <row r="810" spans="1:20" x14ac:dyDescent="0.25">
      <c r="A810" s="14">
        <f t="shared" si="17"/>
        <v>10190</v>
      </c>
      <c r="B810" s="14" t="s">
        <v>1836</v>
      </c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 t="s">
        <v>1072</v>
      </c>
      <c r="T810" s="14"/>
    </row>
    <row r="811" spans="1:20" x14ac:dyDescent="0.25">
      <c r="A811" s="14">
        <f t="shared" si="17"/>
        <v>10191</v>
      </c>
      <c r="B811" s="14" t="s">
        <v>1837</v>
      </c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 t="s">
        <v>1073</v>
      </c>
      <c r="T811" s="14"/>
    </row>
    <row r="812" spans="1:20" x14ac:dyDescent="0.25">
      <c r="A812" s="14">
        <f t="shared" si="17"/>
        <v>10192</v>
      </c>
      <c r="B812" s="14" t="s">
        <v>1838</v>
      </c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 t="s">
        <v>1074</v>
      </c>
      <c r="T812" s="14"/>
    </row>
    <row r="813" spans="1:20" x14ac:dyDescent="0.25">
      <c r="A813" s="14">
        <f t="shared" si="17"/>
        <v>10193</v>
      </c>
      <c r="B813" s="14" t="s">
        <v>1839</v>
      </c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 t="s">
        <v>1075</v>
      </c>
      <c r="T813" s="14"/>
    </row>
    <row r="814" spans="1:20" x14ac:dyDescent="0.25">
      <c r="A814" s="14">
        <f t="shared" ref="A814:A877" si="18">A813+1</f>
        <v>10194</v>
      </c>
      <c r="B814" s="14" t="s">
        <v>1840</v>
      </c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 t="s">
        <v>1076</v>
      </c>
      <c r="T814" s="14"/>
    </row>
    <row r="815" spans="1:20" x14ac:dyDescent="0.25">
      <c r="A815" s="14">
        <f t="shared" si="18"/>
        <v>10195</v>
      </c>
      <c r="B815" s="14" t="s">
        <v>1841</v>
      </c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 t="s">
        <v>1077</v>
      </c>
      <c r="T815" s="14"/>
    </row>
    <row r="816" spans="1:20" x14ac:dyDescent="0.25">
      <c r="A816" s="14">
        <f t="shared" si="18"/>
        <v>10196</v>
      </c>
      <c r="B816" s="14" t="s">
        <v>1842</v>
      </c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 t="s">
        <v>1078</v>
      </c>
      <c r="T816" s="14"/>
    </row>
    <row r="817" spans="1:20" x14ac:dyDescent="0.25">
      <c r="A817" s="14">
        <f t="shared" si="18"/>
        <v>10197</v>
      </c>
      <c r="B817" s="14" t="s">
        <v>1843</v>
      </c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 t="s">
        <v>1079</v>
      </c>
      <c r="T817" s="14" t="s">
        <v>1080</v>
      </c>
    </row>
    <row r="818" spans="1:20" x14ac:dyDescent="0.25">
      <c r="A818" s="14">
        <f t="shared" si="18"/>
        <v>10198</v>
      </c>
      <c r="B818" s="14" t="s">
        <v>1844</v>
      </c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 t="s">
        <v>1081</v>
      </c>
      <c r="T818" s="14"/>
    </row>
    <row r="819" spans="1:20" x14ac:dyDescent="0.25">
      <c r="A819" s="14">
        <f t="shared" si="18"/>
        <v>10199</v>
      </c>
      <c r="B819" s="14" t="s">
        <v>1845</v>
      </c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 t="s">
        <v>1082</v>
      </c>
      <c r="T819" s="14"/>
    </row>
    <row r="820" spans="1:20" x14ac:dyDescent="0.25">
      <c r="A820" s="14">
        <f t="shared" si="18"/>
        <v>10200</v>
      </c>
      <c r="B820" s="14" t="s">
        <v>1846</v>
      </c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 t="s">
        <v>1083</v>
      </c>
      <c r="T820" s="14"/>
    </row>
    <row r="821" spans="1:20" x14ac:dyDescent="0.25">
      <c r="A821" s="14">
        <f t="shared" si="18"/>
        <v>10201</v>
      </c>
      <c r="B821" s="14" t="s">
        <v>1847</v>
      </c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 t="s">
        <v>1084</v>
      </c>
      <c r="T821" s="14"/>
    </row>
    <row r="822" spans="1:20" x14ac:dyDescent="0.25">
      <c r="A822" s="14">
        <f t="shared" si="18"/>
        <v>10202</v>
      </c>
      <c r="B822" s="14" t="s">
        <v>1848</v>
      </c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 t="s">
        <v>1085</v>
      </c>
      <c r="T822" s="14"/>
    </row>
    <row r="823" spans="1:20" x14ac:dyDescent="0.25">
      <c r="A823" s="14">
        <f t="shared" si="18"/>
        <v>10203</v>
      </c>
      <c r="B823" s="14" t="s">
        <v>1849</v>
      </c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 t="s">
        <v>1086</v>
      </c>
      <c r="T823" s="14"/>
    </row>
    <row r="824" spans="1:20" x14ac:dyDescent="0.25">
      <c r="A824" s="14">
        <f t="shared" si="18"/>
        <v>10204</v>
      </c>
      <c r="B824" s="14" t="s">
        <v>1850</v>
      </c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 t="s">
        <v>1087</v>
      </c>
      <c r="T824" s="14"/>
    </row>
    <row r="825" spans="1:20" x14ac:dyDescent="0.25">
      <c r="A825" s="14">
        <f t="shared" si="18"/>
        <v>10205</v>
      </c>
      <c r="B825" s="14" t="s">
        <v>1851</v>
      </c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 t="s">
        <v>1088</v>
      </c>
      <c r="T825" s="14"/>
    </row>
    <row r="826" spans="1:20" x14ac:dyDescent="0.25">
      <c r="A826" s="14">
        <f t="shared" si="18"/>
        <v>10206</v>
      </c>
      <c r="B826" s="14" t="s">
        <v>1852</v>
      </c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 t="s">
        <v>1089</v>
      </c>
      <c r="T826" s="14"/>
    </row>
    <row r="827" spans="1:20" x14ac:dyDescent="0.25">
      <c r="A827" s="14">
        <f t="shared" si="18"/>
        <v>10207</v>
      </c>
      <c r="B827" s="14" t="s">
        <v>1853</v>
      </c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 t="s">
        <v>1090</v>
      </c>
      <c r="T827" s="14"/>
    </row>
    <row r="828" spans="1:20" x14ac:dyDescent="0.25">
      <c r="A828" s="14">
        <f t="shared" si="18"/>
        <v>10208</v>
      </c>
      <c r="B828" s="14" t="s">
        <v>1854</v>
      </c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 t="s">
        <v>1091</v>
      </c>
      <c r="T828" s="14"/>
    </row>
    <row r="829" spans="1:20" x14ac:dyDescent="0.25">
      <c r="A829" s="14">
        <f t="shared" si="18"/>
        <v>10209</v>
      </c>
      <c r="B829" s="14" t="s">
        <v>1855</v>
      </c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 t="s">
        <v>1092</v>
      </c>
      <c r="T829" s="14"/>
    </row>
    <row r="830" spans="1:20" x14ac:dyDescent="0.25">
      <c r="A830" s="14">
        <f t="shared" si="18"/>
        <v>10210</v>
      </c>
      <c r="B830" s="14" t="s">
        <v>1856</v>
      </c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 t="s">
        <v>1093</v>
      </c>
      <c r="T830" s="14"/>
    </row>
    <row r="831" spans="1:20" x14ac:dyDescent="0.25">
      <c r="A831" s="14">
        <f t="shared" si="18"/>
        <v>10211</v>
      </c>
      <c r="B831" s="14" t="s">
        <v>1857</v>
      </c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 t="s">
        <v>1094</v>
      </c>
      <c r="T831" s="14"/>
    </row>
    <row r="832" spans="1:20" x14ac:dyDescent="0.25">
      <c r="A832" s="14">
        <f t="shared" si="18"/>
        <v>10212</v>
      </c>
      <c r="B832" s="14" t="s">
        <v>1858</v>
      </c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 t="s">
        <v>1095</v>
      </c>
      <c r="T832" s="14"/>
    </row>
    <row r="833" spans="1:20" x14ac:dyDescent="0.25">
      <c r="A833" s="14">
        <f t="shared" si="18"/>
        <v>10213</v>
      </c>
      <c r="B833" s="14" t="s">
        <v>1859</v>
      </c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 t="s">
        <v>1096</v>
      </c>
      <c r="T833" s="14"/>
    </row>
    <row r="834" spans="1:20" x14ac:dyDescent="0.25">
      <c r="A834" s="14">
        <f t="shared" si="18"/>
        <v>10214</v>
      </c>
      <c r="B834" s="14" t="s">
        <v>1860</v>
      </c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 t="s">
        <v>1097</v>
      </c>
      <c r="T834" s="14"/>
    </row>
    <row r="835" spans="1:20" x14ac:dyDescent="0.25">
      <c r="A835" s="14">
        <f t="shared" si="18"/>
        <v>10215</v>
      </c>
      <c r="B835" s="14" t="s">
        <v>1861</v>
      </c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 t="s">
        <v>1098</v>
      </c>
      <c r="T835" s="14"/>
    </row>
    <row r="836" spans="1:20" x14ac:dyDescent="0.25">
      <c r="A836" s="14">
        <f t="shared" si="18"/>
        <v>10216</v>
      </c>
      <c r="B836" s="14" t="s">
        <v>1862</v>
      </c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 t="s">
        <v>1099</v>
      </c>
      <c r="T836" s="14"/>
    </row>
    <row r="837" spans="1:20" x14ac:dyDescent="0.25">
      <c r="A837" s="14">
        <f t="shared" si="18"/>
        <v>10217</v>
      </c>
      <c r="B837" s="14" t="s">
        <v>1863</v>
      </c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 t="s">
        <v>1100</v>
      </c>
      <c r="T837" s="14"/>
    </row>
    <row r="838" spans="1:20" x14ac:dyDescent="0.25">
      <c r="A838" s="14">
        <f t="shared" si="18"/>
        <v>10218</v>
      </c>
      <c r="B838" s="14" t="s">
        <v>1864</v>
      </c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 t="s">
        <v>1101</v>
      </c>
      <c r="T838" s="14"/>
    </row>
    <row r="839" spans="1:20" x14ac:dyDescent="0.25">
      <c r="A839" s="14">
        <f t="shared" si="18"/>
        <v>10219</v>
      </c>
      <c r="B839" s="14" t="s">
        <v>1865</v>
      </c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 t="s">
        <v>1102</v>
      </c>
      <c r="T839" s="14"/>
    </row>
    <row r="840" spans="1:20" x14ac:dyDescent="0.25">
      <c r="A840" s="14">
        <f t="shared" si="18"/>
        <v>10220</v>
      </c>
      <c r="B840" s="14" t="s">
        <v>1866</v>
      </c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 t="s">
        <v>1103</v>
      </c>
      <c r="T840" s="14"/>
    </row>
    <row r="841" spans="1:20" x14ac:dyDescent="0.25">
      <c r="A841" s="14">
        <f t="shared" si="18"/>
        <v>10221</v>
      </c>
      <c r="B841" s="14" t="s">
        <v>1867</v>
      </c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 t="s">
        <v>1104</v>
      </c>
      <c r="T841" s="14"/>
    </row>
    <row r="842" spans="1:20" x14ac:dyDescent="0.25">
      <c r="A842" s="14">
        <f t="shared" si="18"/>
        <v>10222</v>
      </c>
      <c r="B842" s="14" t="s">
        <v>1868</v>
      </c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 t="s">
        <v>1105</v>
      </c>
      <c r="T842" s="14"/>
    </row>
    <row r="843" spans="1:20" x14ac:dyDescent="0.25">
      <c r="A843" s="14">
        <f t="shared" si="18"/>
        <v>10223</v>
      </c>
      <c r="B843" s="14" t="s">
        <v>1869</v>
      </c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 t="s">
        <v>1106</v>
      </c>
      <c r="T843" s="14"/>
    </row>
    <row r="844" spans="1:20" x14ac:dyDescent="0.25">
      <c r="A844" s="14">
        <f t="shared" si="18"/>
        <v>10224</v>
      </c>
      <c r="B844" s="14" t="s">
        <v>1870</v>
      </c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 t="s">
        <v>1107</v>
      </c>
      <c r="T844" s="14"/>
    </row>
    <row r="845" spans="1:20" x14ac:dyDescent="0.25">
      <c r="A845" s="14">
        <f t="shared" si="18"/>
        <v>10225</v>
      </c>
      <c r="B845" s="14" t="s">
        <v>1871</v>
      </c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 t="s">
        <v>1108</v>
      </c>
      <c r="T845" s="14"/>
    </row>
    <row r="846" spans="1:20" x14ac:dyDescent="0.25">
      <c r="A846" s="14">
        <f t="shared" si="18"/>
        <v>10226</v>
      </c>
      <c r="B846" s="14" t="s">
        <v>1872</v>
      </c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 t="s">
        <v>1109</v>
      </c>
      <c r="T846" s="14"/>
    </row>
    <row r="847" spans="1:20" x14ac:dyDescent="0.25">
      <c r="A847" s="14">
        <f t="shared" si="18"/>
        <v>10227</v>
      </c>
      <c r="B847" s="14" t="s">
        <v>1873</v>
      </c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 t="s">
        <v>1110</v>
      </c>
      <c r="T847" s="14"/>
    </row>
    <row r="848" spans="1:20" x14ac:dyDescent="0.25">
      <c r="A848" s="14">
        <f t="shared" si="18"/>
        <v>10228</v>
      </c>
      <c r="B848" s="14" t="s">
        <v>1874</v>
      </c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 t="s">
        <v>1111</v>
      </c>
      <c r="T848" s="14"/>
    </row>
    <row r="849" spans="1:20" x14ac:dyDescent="0.25">
      <c r="A849" s="14">
        <f t="shared" si="18"/>
        <v>10229</v>
      </c>
      <c r="B849" s="14" t="s">
        <v>1875</v>
      </c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 t="s">
        <v>1112</v>
      </c>
      <c r="T849" s="14"/>
    </row>
    <row r="850" spans="1:20" x14ac:dyDescent="0.25">
      <c r="A850" s="14">
        <f t="shared" si="18"/>
        <v>10230</v>
      </c>
      <c r="B850" s="14" t="s">
        <v>1876</v>
      </c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 t="s">
        <v>1113</v>
      </c>
      <c r="T850" s="14"/>
    </row>
    <row r="851" spans="1:20" x14ac:dyDescent="0.25">
      <c r="A851" s="14">
        <f t="shared" si="18"/>
        <v>10231</v>
      </c>
      <c r="B851" s="14" t="s">
        <v>1877</v>
      </c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 t="s">
        <v>1114</v>
      </c>
      <c r="T851" s="14"/>
    </row>
    <row r="852" spans="1:20" x14ac:dyDescent="0.25">
      <c r="A852" s="14">
        <f t="shared" si="18"/>
        <v>10232</v>
      </c>
      <c r="B852" s="14" t="s">
        <v>1878</v>
      </c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 t="s">
        <v>1115</v>
      </c>
      <c r="T852" s="14"/>
    </row>
    <row r="853" spans="1:20" x14ac:dyDescent="0.25">
      <c r="A853" s="14">
        <f t="shared" si="18"/>
        <v>10233</v>
      </c>
      <c r="B853" s="14" t="s">
        <v>1879</v>
      </c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 t="s">
        <v>1116</v>
      </c>
      <c r="T853" s="14"/>
    </row>
    <row r="854" spans="1:20" x14ac:dyDescent="0.25">
      <c r="A854" s="14">
        <f t="shared" si="18"/>
        <v>10234</v>
      </c>
      <c r="B854" s="14" t="s">
        <v>1880</v>
      </c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 t="s">
        <v>1117</v>
      </c>
      <c r="T854" s="14"/>
    </row>
    <row r="855" spans="1:20" x14ac:dyDescent="0.25">
      <c r="A855" s="14">
        <f t="shared" si="18"/>
        <v>10235</v>
      </c>
      <c r="B855" s="14" t="s">
        <v>1881</v>
      </c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 t="s">
        <v>1118</v>
      </c>
      <c r="T855" s="14"/>
    </row>
    <row r="856" spans="1:20" x14ac:dyDescent="0.25">
      <c r="A856" s="14">
        <f t="shared" si="18"/>
        <v>10236</v>
      </c>
      <c r="B856" s="14" t="s">
        <v>1882</v>
      </c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 t="s">
        <v>1119</v>
      </c>
      <c r="T856" s="14"/>
    </row>
    <row r="857" spans="1:20" x14ac:dyDescent="0.25">
      <c r="A857" s="14">
        <f t="shared" si="18"/>
        <v>10237</v>
      </c>
      <c r="B857" s="14" t="s">
        <v>1883</v>
      </c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 t="s">
        <v>1120</v>
      </c>
      <c r="T857" s="14"/>
    </row>
    <row r="858" spans="1:20" x14ac:dyDescent="0.25">
      <c r="A858" s="14">
        <f t="shared" si="18"/>
        <v>10238</v>
      </c>
      <c r="B858" s="14" t="s">
        <v>1884</v>
      </c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 t="s">
        <v>1121</v>
      </c>
      <c r="T858" s="14"/>
    </row>
    <row r="859" spans="1:20" x14ac:dyDescent="0.25">
      <c r="A859" s="14">
        <f t="shared" si="18"/>
        <v>10239</v>
      </c>
      <c r="B859" s="14" t="s">
        <v>1885</v>
      </c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 t="s">
        <v>1122</v>
      </c>
      <c r="T859" s="14"/>
    </row>
    <row r="860" spans="1:20" x14ac:dyDescent="0.25">
      <c r="A860" s="14">
        <f t="shared" si="18"/>
        <v>10240</v>
      </c>
      <c r="B860" s="14" t="s">
        <v>1886</v>
      </c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 t="s">
        <v>1123</v>
      </c>
      <c r="T860" s="14"/>
    </row>
    <row r="861" spans="1:20" x14ac:dyDescent="0.25">
      <c r="A861" s="14">
        <f t="shared" si="18"/>
        <v>10241</v>
      </c>
      <c r="B861" s="14" t="s">
        <v>1887</v>
      </c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 t="s">
        <v>1124</v>
      </c>
      <c r="T861" s="14"/>
    </row>
    <row r="862" spans="1:20" x14ac:dyDescent="0.25">
      <c r="A862" s="14">
        <f t="shared" si="18"/>
        <v>10242</v>
      </c>
      <c r="B862" s="14" t="s">
        <v>1888</v>
      </c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 t="s">
        <v>1125</v>
      </c>
      <c r="T862" s="14"/>
    </row>
    <row r="863" spans="1:20" x14ac:dyDescent="0.25">
      <c r="A863" s="14">
        <f t="shared" si="18"/>
        <v>10243</v>
      </c>
      <c r="B863" s="14" t="s">
        <v>1889</v>
      </c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 t="s">
        <v>1126</v>
      </c>
      <c r="T863" s="14"/>
    </row>
    <row r="864" spans="1:20" x14ac:dyDescent="0.25">
      <c r="A864" s="14">
        <f t="shared" si="18"/>
        <v>10244</v>
      </c>
      <c r="B864" s="14" t="s">
        <v>1890</v>
      </c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 t="s">
        <v>1127</v>
      </c>
      <c r="T864" s="14"/>
    </row>
    <row r="865" spans="1:20" x14ac:dyDescent="0.25">
      <c r="A865" s="14">
        <f t="shared" si="18"/>
        <v>10245</v>
      </c>
      <c r="B865" s="14" t="s">
        <v>1891</v>
      </c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 t="s">
        <v>1128</v>
      </c>
      <c r="T865" s="14"/>
    </row>
    <row r="866" spans="1:20" x14ac:dyDescent="0.25">
      <c r="A866" s="14">
        <f t="shared" si="18"/>
        <v>10246</v>
      </c>
      <c r="B866" s="14" t="s">
        <v>1892</v>
      </c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 t="s">
        <v>1129</v>
      </c>
      <c r="T866" s="14"/>
    </row>
    <row r="867" spans="1:20" x14ac:dyDescent="0.25">
      <c r="A867" s="14">
        <f t="shared" si="18"/>
        <v>10247</v>
      </c>
      <c r="B867" s="14" t="s">
        <v>1893</v>
      </c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 t="s">
        <v>1130</v>
      </c>
      <c r="T867" s="14"/>
    </row>
    <row r="868" spans="1:20" x14ac:dyDescent="0.25">
      <c r="A868" s="14">
        <f t="shared" si="18"/>
        <v>10248</v>
      </c>
      <c r="B868" s="14" t="s">
        <v>1894</v>
      </c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 t="s">
        <v>1131</v>
      </c>
      <c r="T868" s="14"/>
    </row>
    <row r="869" spans="1:20" x14ac:dyDescent="0.25">
      <c r="A869" s="14">
        <f t="shared" si="18"/>
        <v>10249</v>
      </c>
      <c r="B869" s="14" t="s">
        <v>1895</v>
      </c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 t="s">
        <v>1132</v>
      </c>
      <c r="T869" s="14"/>
    </row>
    <row r="870" spans="1:20" x14ac:dyDescent="0.25">
      <c r="A870" s="14">
        <f t="shared" si="18"/>
        <v>10250</v>
      </c>
      <c r="B870" s="14" t="s">
        <v>1896</v>
      </c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 t="s">
        <v>1133</v>
      </c>
      <c r="T870" s="14"/>
    </row>
    <row r="871" spans="1:20" x14ac:dyDescent="0.25">
      <c r="A871" s="14">
        <f t="shared" si="18"/>
        <v>10251</v>
      </c>
      <c r="B871" s="14" t="s">
        <v>1897</v>
      </c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 t="s">
        <v>1134</v>
      </c>
      <c r="T871" s="14"/>
    </row>
    <row r="872" spans="1:20" x14ac:dyDescent="0.25">
      <c r="A872" s="14">
        <f t="shared" si="18"/>
        <v>10252</v>
      </c>
      <c r="B872" s="14" t="s">
        <v>1898</v>
      </c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 t="s">
        <v>1135</v>
      </c>
      <c r="T872" s="14"/>
    </row>
    <row r="873" spans="1:20" x14ac:dyDescent="0.25">
      <c r="A873" s="14">
        <f t="shared" si="18"/>
        <v>10253</v>
      </c>
      <c r="B873" s="14" t="s">
        <v>1899</v>
      </c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 t="s">
        <v>1136</v>
      </c>
      <c r="T873" s="14"/>
    </row>
    <row r="874" spans="1:20" x14ac:dyDescent="0.25">
      <c r="A874" s="14">
        <f t="shared" si="18"/>
        <v>10254</v>
      </c>
      <c r="B874" s="14" t="s">
        <v>1900</v>
      </c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 t="s">
        <v>1137</v>
      </c>
      <c r="T874" s="14"/>
    </row>
    <row r="875" spans="1:20" x14ac:dyDescent="0.25">
      <c r="A875" s="14">
        <f t="shared" si="18"/>
        <v>10255</v>
      </c>
      <c r="B875" s="14" t="s">
        <v>1901</v>
      </c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 t="s">
        <v>1138</v>
      </c>
      <c r="T875" s="14"/>
    </row>
    <row r="876" spans="1:20" x14ac:dyDescent="0.25">
      <c r="A876" s="14">
        <f t="shared" si="18"/>
        <v>10256</v>
      </c>
      <c r="B876" s="14" t="s">
        <v>1902</v>
      </c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 t="s">
        <v>1139</v>
      </c>
      <c r="T876" s="14"/>
    </row>
    <row r="877" spans="1:20" x14ac:dyDescent="0.25">
      <c r="A877" s="14">
        <f t="shared" si="18"/>
        <v>10257</v>
      </c>
      <c r="B877" s="14" t="s">
        <v>572</v>
      </c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</row>
    <row r="878" spans="1:20" x14ac:dyDescent="0.25">
      <c r="A878" s="14">
        <v>15000</v>
      </c>
      <c r="B878" s="14" t="s">
        <v>1903</v>
      </c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</row>
    <row r="879" spans="1:20" x14ac:dyDescent="0.25">
      <c r="A879" s="14">
        <f>A878+1</f>
        <v>15001</v>
      </c>
      <c r="B879" s="14" t="s">
        <v>588</v>
      </c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 t="s">
        <v>1140</v>
      </c>
      <c r="T879" s="14"/>
    </row>
    <row r="880" spans="1:20" x14ac:dyDescent="0.25">
      <c r="A880" s="14">
        <f t="shared" ref="A880:A935" si="19">A879+1</f>
        <v>15002</v>
      </c>
      <c r="B880" s="14" t="s">
        <v>296</v>
      </c>
      <c r="C880" s="14" t="s">
        <v>1999</v>
      </c>
      <c r="D880" s="14" t="s">
        <v>2000</v>
      </c>
      <c r="E880" s="14"/>
      <c r="F880" s="14" t="s">
        <v>275</v>
      </c>
      <c r="G880" s="14" t="s">
        <v>11</v>
      </c>
      <c r="H880" s="14" t="s">
        <v>298</v>
      </c>
      <c r="I880" s="14" t="s">
        <v>2001</v>
      </c>
      <c r="J880" s="14" t="s">
        <v>2002</v>
      </c>
      <c r="K880" s="14" t="s">
        <v>2004</v>
      </c>
      <c r="L880" s="14"/>
      <c r="M880" s="14"/>
      <c r="N880" s="14"/>
      <c r="O880" s="14"/>
      <c r="P880" s="14"/>
      <c r="Q880" s="14"/>
      <c r="R880" s="14"/>
      <c r="S880" s="14" t="s">
        <v>1141</v>
      </c>
      <c r="T880" s="14"/>
    </row>
    <row r="881" spans="1:20" x14ac:dyDescent="0.25">
      <c r="A881" s="14">
        <f t="shared" si="19"/>
        <v>15003</v>
      </c>
      <c r="B881" s="14" t="s">
        <v>300</v>
      </c>
      <c r="C881" s="14" t="s">
        <v>2005</v>
      </c>
      <c r="D881" s="14" t="s">
        <v>2006</v>
      </c>
      <c r="E881" s="14"/>
      <c r="F881" s="14" t="s">
        <v>275</v>
      </c>
      <c r="G881" s="14" t="s">
        <v>11</v>
      </c>
      <c r="H881" s="14" t="s">
        <v>45</v>
      </c>
      <c r="I881" s="14" t="s">
        <v>549</v>
      </c>
      <c r="J881" s="14" t="s">
        <v>2007</v>
      </c>
      <c r="K881" s="14" t="s">
        <v>276</v>
      </c>
      <c r="L881" s="14"/>
      <c r="M881" s="14"/>
      <c r="N881" s="14"/>
      <c r="O881" s="14"/>
      <c r="P881" s="14"/>
      <c r="Q881" s="14"/>
      <c r="R881" s="14"/>
      <c r="S881" s="14" t="s">
        <v>1142</v>
      </c>
      <c r="T881" s="14"/>
    </row>
    <row r="882" spans="1:20" x14ac:dyDescent="0.25">
      <c r="A882" s="14">
        <f t="shared" si="19"/>
        <v>15004</v>
      </c>
      <c r="B882" s="14" t="s">
        <v>615</v>
      </c>
      <c r="C882" s="14" t="s">
        <v>2015</v>
      </c>
      <c r="D882" s="14" t="s">
        <v>2016</v>
      </c>
      <c r="E882" s="14"/>
      <c r="F882" s="14" t="s">
        <v>275</v>
      </c>
      <c r="G882" s="14" t="s">
        <v>11</v>
      </c>
      <c r="H882" s="14" t="s">
        <v>45</v>
      </c>
      <c r="I882" s="14" t="s">
        <v>549</v>
      </c>
      <c r="J882" s="14" t="s">
        <v>2017</v>
      </c>
      <c r="K882" s="14" t="s">
        <v>2003</v>
      </c>
      <c r="L882" s="14"/>
      <c r="M882" s="14"/>
      <c r="N882" s="14"/>
      <c r="O882" s="14"/>
      <c r="P882" s="14"/>
      <c r="Q882" s="14"/>
      <c r="R882" s="14"/>
      <c r="S882" s="14" t="s">
        <v>1143</v>
      </c>
      <c r="T882" s="14"/>
    </row>
    <row r="883" spans="1:20" x14ac:dyDescent="0.25">
      <c r="A883" s="14">
        <f t="shared" si="19"/>
        <v>15005</v>
      </c>
      <c r="B883" s="14" t="s">
        <v>616</v>
      </c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 t="s">
        <v>1144</v>
      </c>
      <c r="T883" s="14"/>
    </row>
    <row r="884" spans="1:20" x14ac:dyDescent="0.25">
      <c r="A884" s="14">
        <f t="shared" si="19"/>
        <v>15006</v>
      </c>
      <c r="B884" s="14" t="s">
        <v>617</v>
      </c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 t="s">
        <v>1145</v>
      </c>
      <c r="T884" s="14"/>
    </row>
    <row r="885" spans="1:20" x14ac:dyDescent="0.25">
      <c r="A885" s="14">
        <f t="shared" si="19"/>
        <v>15007</v>
      </c>
      <c r="B885" s="14" t="s">
        <v>618</v>
      </c>
      <c r="C885" s="14" t="s">
        <v>2014</v>
      </c>
      <c r="D885" s="14" t="s">
        <v>2013</v>
      </c>
      <c r="E885" s="14"/>
      <c r="F885" s="14" t="s">
        <v>275</v>
      </c>
      <c r="G885" s="14" t="s">
        <v>11</v>
      </c>
      <c r="H885" s="14" t="s">
        <v>2010</v>
      </c>
      <c r="I885" s="14" t="s">
        <v>2011</v>
      </c>
      <c r="J885" s="14" t="s">
        <v>2012</v>
      </c>
      <c r="K885" s="14" t="s">
        <v>299</v>
      </c>
      <c r="L885" s="14"/>
      <c r="M885" s="14"/>
      <c r="N885" s="14"/>
      <c r="O885" s="14"/>
      <c r="P885" s="14"/>
      <c r="Q885" s="14"/>
      <c r="R885" s="14"/>
      <c r="S885" s="14" t="s">
        <v>1146</v>
      </c>
      <c r="T885" s="14"/>
    </row>
    <row r="886" spans="1:20" x14ac:dyDescent="0.25">
      <c r="A886" s="14">
        <f t="shared" si="19"/>
        <v>15008</v>
      </c>
      <c r="B886" s="14" t="s">
        <v>619</v>
      </c>
      <c r="C886" s="14" t="s">
        <v>2018</v>
      </c>
      <c r="D886" s="14" t="s">
        <v>2019</v>
      </c>
      <c r="E886" s="14"/>
      <c r="F886" s="14" t="s">
        <v>275</v>
      </c>
      <c r="G886" s="14" t="s">
        <v>11</v>
      </c>
      <c r="H886" s="14" t="s">
        <v>298</v>
      </c>
      <c r="I886" s="14" t="s">
        <v>2001</v>
      </c>
      <c r="J886" s="14" t="s">
        <v>2002</v>
      </c>
      <c r="K886" s="14" t="s">
        <v>2004</v>
      </c>
      <c r="L886" s="14"/>
      <c r="M886" s="14"/>
      <c r="N886" s="14"/>
      <c r="O886" s="14"/>
      <c r="P886" s="14"/>
      <c r="Q886" s="14"/>
      <c r="R886" s="14"/>
      <c r="S886" s="14" t="s">
        <v>1147</v>
      </c>
      <c r="T886" s="14"/>
    </row>
    <row r="887" spans="1:20" x14ac:dyDescent="0.25">
      <c r="A887" s="14">
        <f t="shared" si="19"/>
        <v>15009</v>
      </c>
      <c r="B887" s="14" t="s">
        <v>620</v>
      </c>
      <c r="C887" s="14" t="s">
        <v>2020</v>
      </c>
      <c r="D887" s="14" t="s">
        <v>2021</v>
      </c>
      <c r="E887" s="14"/>
      <c r="F887" s="14" t="s">
        <v>275</v>
      </c>
      <c r="G887" s="14" t="s">
        <v>11</v>
      </c>
      <c r="H887" s="14" t="s">
        <v>45</v>
      </c>
      <c r="I887" s="14" t="s">
        <v>549</v>
      </c>
      <c r="J887" s="14" t="s">
        <v>2017</v>
      </c>
      <c r="K887" s="14" t="s">
        <v>2003</v>
      </c>
      <c r="L887" s="14"/>
      <c r="M887" s="14"/>
      <c r="N887" s="14"/>
      <c r="O887" s="14"/>
      <c r="P887" s="14"/>
      <c r="Q887" s="14"/>
      <c r="R887" s="14"/>
      <c r="S887" s="14" t="s">
        <v>1148</v>
      </c>
      <c r="T887" s="14"/>
    </row>
    <row r="888" spans="1:20" x14ac:dyDescent="0.25">
      <c r="A888" s="14">
        <f t="shared" si="19"/>
        <v>15010</v>
      </c>
      <c r="B888" s="14" t="s">
        <v>621</v>
      </c>
      <c r="C888" s="14" t="s">
        <v>2022</v>
      </c>
      <c r="D888" s="14" t="s">
        <v>2023</v>
      </c>
      <c r="E888" s="14"/>
      <c r="F888" s="14" t="s">
        <v>275</v>
      </c>
      <c r="G888" s="14" t="s">
        <v>11</v>
      </c>
      <c r="H888" s="14" t="s">
        <v>2024</v>
      </c>
      <c r="I888" s="14" t="s">
        <v>2025</v>
      </c>
      <c r="J888" s="14" t="s">
        <v>2026</v>
      </c>
      <c r="K888" s="14" t="s">
        <v>1979</v>
      </c>
      <c r="L888" s="14"/>
      <c r="M888" s="14"/>
      <c r="N888" s="14"/>
      <c r="O888" s="14"/>
      <c r="P888" s="14"/>
      <c r="Q888" s="14"/>
      <c r="R888" s="14"/>
      <c r="S888" s="14" t="s">
        <v>1149</v>
      </c>
      <c r="T888" s="14"/>
    </row>
    <row r="889" spans="1:20" x14ac:dyDescent="0.25">
      <c r="A889" s="14">
        <f t="shared" si="19"/>
        <v>15011</v>
      </c>
      <c r="B889" s="14" t="s">
        <v>622</v>
      </c>
      <c r="C889" s="14" t="s">
        <v>2008</v>
      </c>
      <c r="D889" s="14" t="s">
        <v>2009</v>
      </c>
      <c r="E889" s="14"/>
      <c r="F889" s="14" t="s">
        <v>275</v>
      </c>
      <c r="G889" s="14" t="s">
        <v>11</v>
      </c>
      <c r="H889" s="14" t="s">
        <v>2010</v>
      </c>
      <c r="I889" s="14" t="s">
        <v>2011</v>
      </c>
      <c r="J889" s="14" t="s">
        <v>2012</v>
      </c>
      <c r="K889" s="14" t="s">
        <v>299</v>
      </c>
      <c r="L889" s="14"/>
      <c r="M889" s="14"/>
      <c r="N889" s="14"/>
      <c r="O889" s="14"/>
      <c r="P889" s="14"/>
      <c r="Q889" s="14"/>
      <c r="R889" s="14"/>
      <c r="S889" s="14" t="s">
        <v>1145</v>
      </c>
      <c r="T889" s="14"/>
    </row>
    <row r="890" spans="1:20" x14ac:dyDescent="0.25">
      <c r="A890" s="14">
        <f t="shared" si="19"/>
        <v>15012</v>
      </c>
      <c r="B890" s="14" t="s">
        <v>623</v>
      </c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 t="s">
        <v>1150</v>
      </c>
      <c r="T890" s="14"/>
    </row>
    <row r="891" spans="1:20" x14ac:dyDescent="0.25">
      <c r="A891" s="14">
        <f t="shared" si="19"/>
        <v>15013</v>
      </c>
      <c r="B891" s="14" t="s">
        <v>624</v>
      </c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 t="s">
        <v>1151</v>
      </c>
      <c r="T891" s="14"/>
    </row>
    <row r="892" spans="1:20" x14ac:dyDescent="0.25">
      <c r="A892" s="14">
        <f t="shared" si="19"/>
        <v>15014</v>
      </c>
      <c r="B892" s="14" t="s">
        <v>625</v>
      </c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 t="s">
        <v>1152</v>
      </c>
      <c r="T892" s="14"/>
    </row>
    <row r="893" spans="1:20" x14ac:dyDescent="0.25">
      <c r="A893" s="14">
        <f t="shared" si="19"/>
        <v>15015</v>
      </c>
      <c r="B893" s="14" t="s">
        <v>626</v>
      </c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 t="s">
        <v>1153</v>
      </c>
      <c r="T893" s="14"/>
    </row>
    <row r="894" spans="1:20" x14ac:dyDescent="0.25">
      <c r="A894" s="14">
        <f t="shared" si="19"/>
        <v>15016</v>
      </c>
      <c r="B894" s="14" t="s">
        <v>627</v>
      </c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 t="s">
        <v>1154</v>
      </c>
      <c r="T894" s="14"/>
    </row>
    <row r="895" spans="1:20" x14ac:dyDescent="0.25">
      <c r="A895" s="14">
        <f t="shared" si="19"/>
        <v>15017</v>
      </c>
      <c r="B895" s="14" t="s">
        <v>628</v>
      </c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 t="s">
        <v>1155</v>
      </c>
      <c r="T895" s="14"/>
    </row>
    <row r="896" spans="1:20" x14ac:dyDescent="0.25">
      <c r="A896" s="14">
        <f t="shared" si="19"/>
        <v>15018</v>
      </c>
      <c r="B896" s="14" t="s">
        <v>629</v>
      </c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 t="s">
        <v>667</v>
      </c>
      <c r="T896" s="14"/>
    </row>
    <row r="897" spans="1:20" x14ac:dyDescent="0.25">
      <c r="A897" s="14">
        <f t="shared" si="19"/>
        <v>15019</v>
      </c>
      <c r="B897" s="14" t="s">
        <v>630</v>
      </c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 t="s">
        <v>668</v>
      </c>
      <c r="T897" s="14"/>
    </row>
    <row r="898" spans="1:20" x14ac:dyDescent="0.25">
      <c r="A898" s="14">
        <f t="shared" si="19"/>
        <v>15020</v>
      </c>
      <c r="B898" s="14" t="s">
        <v>631</v>
      </c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 t="s">
        <v>669</v>
      </c>
      <c r="T898" s="14"/>
    </row>
    <row r="899" spans="1:20" x14ac:dyDescent="0.25">
      <c r="A899" s="14">
        <f t="shared" si="19"/>
        <v>15021</v>
      </c>
      <c r="B899" s="14" t="s">
        <v>632</v>
      </c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 t="s">
        <v>670</v>
      </c>
      <c r="T899" s="14"/>
    </row>
    <row r="900" spans="1:20" x14ac:dyDescent="0.25">
      <c r="A900" s="14">
        <f t="shared" si="19"/>
        <v>15022</v>
      </c>
      <c r="B900" s="14" t="s">
        <v>633</v>
      </c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 t="s">
        <v>671</v>
      </c>
      <c r="T900" s="14"/>
    </row>
    <row r="901" spans="1:20" x14ac:dyDescent="0.25">
      <c r="A901" s="14">
        <f t="shared" si="19"/>
        <v>15023</v>
      </c>
      <c r="B901" s="14" t="s">
        <v>634</v>
      </c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 t="s">
        <v>672</v>
      </c>
      <c r="T901" s="14"/>
    </row>
    <row r="902" spans="1:20" x14ac:dyDescent="0.25">
      <c r="A902" s="14">
        <f t="shared" si="19"/>
        <v>15024</v>
      </c>
      <c r="B902" s="14" t="s">
        <v>635</v>
      </c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 t="s">
        <v>673</v>
      </c>
      <c r="T902" s="14"/>
    </row>
    <row r="903" spans="1:20" x14ac:dyDescent="0.25">
      <c r="A903" s="14">
        <f t="shared" si="19"/>
        <v>15025</v>
      </c>
      <c r="B903" s="14" t="s">
        <v>636</v>
      </c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 t="s">
        <v>674</v>
      </c>
      <c r="T903" s="14"/>
    </row>
    <row r="904" spans="1:20" x14ac:dyDescent="0.25">
      <c r="A904" s="14">
        <f t="shared" si="19"/>
        <v>15026</v>
      </c>
      <c r="B904" s="14" t="s">
        <v>637</v>
      </c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 t="s">
        <v>675</v>
      </c>
      <c r="T904" s="14"/>
    </row>
    <row r="905" spans="1:20" x14ac:dyDescent="0.25">
      <c r="A905" s="14">
        <f t="shared" si="19"/>
        <v>15027</v>
      </c>
      <c r="B905" s="14" t="s">
        <v>638</v>
      </c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 t="s">
        <v>676</v>
      </c>
      <c r="T905" s="14"/>
    </row>
    <row r="906" spans="1:20" x14ac:dyDescent="0.25">
      <c r="A906" s="14">
        <f t="shared" si="19"/>
        <v>15028</v>
      </c>
      <c r="B906" s="14" t="s">
        <v>639</v>
      </c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 t="s">
        <v>677</v>
      </c>
      <c r="T906" s="14"/>
    </row>
    <row r="907" spans="1:20" x14ac:dyDescent="0.25">
      <c r="A907" s="14">
        <f t="shared" si="19"/>
        <v>15029</v>
      </c>
      <c r="B907" s="14" t="s">
        <v>640</v>
      </c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 t="s">
        <v>678</v>
      </c>
      <c r="T907" s="14"/>
    </row>
    <row r="908" spans="1:20" x14ac:dyDescent="0.25">
      <c r="A908" s="14">
        <f t="shared" si="19"/>
        <v>15030</v>
      </c>
      <c r="B908" s="14" t="s">
        <v>641</v>
      </c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 t="s">
        <v>679</v>
      </c>
      <c r="T908" s="14"/>
    </row>
    <row r="909" spans="1:20" x14ac:dyDescent="0.25">
      <c r="A909" s="14">
        <f t="shared" si="19"/>
        <v>15031</v>
      </c>
      <c r="B909" s="14" t="s">
        <v>642</v>
      </c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 t="s">
        <v>680</v>
      </c>
      <c r="T909" s="14"/>
    </row>
    <row r="910" spans="1:20" x14ac:dyDescent="0.25">
      <c r="A910" s="14">
        <f t="shared" si="19"/>
        <v>15032</v>
      </c>
      <c r="B910" s="14" t="s">
        <v>643</v>
      </c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 t="s">
        <v>681</v>
      </c>
      <c r="T910" s="14"/>
    </row>
    <row r="911" spans="1:20" x14ac:dyDescent="0.25">
      <c r="A911" s="14">
        <f t="shared" si="19"/>
        <v>15033</v>
      </c>
      <c r="B911" s="14" t="s">
        <v>644</v>
      </c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 t="s">
        <v>682</v>
      </c>
      <c r="T911" s="14"/>
    </row>
    <row r="912" spans="1:20" x14ac:dyDescent="0.25">
      <c r="A912" s="14">
        <f t="shared" si="19"/>
        <v>15034</v>
      </c>
      <c r="B912" s="14" t="s">
        <v>645</v>
      </c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 t="s">
        <v>683</v>
      </c>
      <c r="T912" s="14"/>
    </row>
    <row r="913" spans="1:20" x14ac:dyDescent="0.25">
      <c r="A913" s="14">
        <f t="shared" si="19"/>
        <v>15035</v>
      </c>
      <c r="B913" s="14" t="s">
        <v>646</v>
      </c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 t="s">
        <v>684</v>
      </c>
      <c r="T913" s="14"/>
    </row>
    <row r="914" spans="1:20" x14ac:dyDescent="0.25">
      <c r="A914" s="14">
        <f t="shared" si="19"/>
        <v>15036</v>
      </c>
      <c r="B914" s="14" t="s">
        <v>647</v>
      </c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 t="s">
        <v>685</v>
      </c>
      <c r="T914" s="14"/>
    </row>
    <row r="915" spans="1:20" x14ac:dyDescent="0.25">
      <c r="A915" s="14">
        <f t="shared" si="19"/>
        <v>15037</v>
      </c>
      <c r="B915" s="14" t="s">
        <v>648</v>
      </c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 t="s">
        <v>686</v>
      </c>
      <c r="T915" s="14"/>
    </row>
    <row r="916" spans="1:20" x14ac:dyDescent="0.25">
      <c r="A916" s="14">
        <f t="shared" si="19"/>
        <v>15038</v>
      </c>
      <c r="B916" s="14" t="s">
        <v>649</v>
      </c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 t="s">
        <v>687</v>
      </c>
      <c r="T916" s="14"/>
    </row>
    <row r="917" spans="1:20" x14ac:dyDescent="0.25">
      <c r="A917" s="14">
        <f t="shared" si="19"/>
        <v>15039</v>
      </c>
      <c r="B917" s="14" t="s">
        <v>650</v>
      </c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 t="s">
        <v>688</v>
      </c>
      <c r="T917" s="14"/>
    </row>
    <row r="918" spans="1:20" x14ac:dyDescent="0.25">
      <c r="A918" s="14">
        <f t="shared" si="19"/>
        <v>15040</v>
      </c>
      <c r="B918" s="14" t="s">
        <v>651</v>
      </c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 t="s">
        <v>689</v>
      </c>
      <c r="T918" s="14"/>
    </row>
    <row r="919" spans="1:20" x14ac:dyDescent="0.25">
      <c r="A919" s="14">
        <f t="shared" si="19"/>
        <v>15041</v>
      </c>
      <c r="B919" s="14" t="s">
        <v>652</v>
      </c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 t="s">
        <v>690</v>
      </c>
      <c r="T919" s="14"/>
    </row>
    <row r="920" spans="1:20" x14ac:dyDescent="0.25">
      <c r="A920" s="14">
        <f t="shared" si="19"/>
        <v>15042</v>
      </c>
      <c r="B920" s="14" t="s">
        <v>653</v>
      </c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 t="s">
        <v>691</v>
      </c>
      <c r="T920" s="14"/>
    </row>
    <row r="921" spans="1:20" x14ac:dyDescent="0.25">
      <c r="A921" s="14">
        <f t="shared" si="19"/>
        <v>15043</v>
      </c>
      <c r="B921" s="14" t="s">
        <v>654</v>
      </c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 t="s">
        <v>692</v>
      </c>
      <c r="T921" s="14"/>
    </row>
    <row r="922" spans="1:20" x14ac:dyDescent="0.25">
      <c r="A922" s="14">
        <f t="shared" si="19"/>
        <v>15044</v>
      </c>
      <c r="B922" s="14" t="s">
        <v>655</v>
      </c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 t="s">
        <v>693</v>
      </c>
      <c r="T922" s="14"/>
    </row>
    <row r="923" spans="1:20" x14ac:dyDescent="0.25">
      <c r="A923" s="14">
        <f t="shared" si="19"/>
        <v>15045</v>
      </c>
      <c r="B923" s="14" t="s">
        <v>656</v>
      </c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 t="s">
        <v>694</v>
      </c>
      <c r="T923" s="14"/>
    </row>
    <row r="924" spans="1:20" x14ac:dyDescent="0.25">
      <c r="A924" s="14">
        <f t="shared" si="19"/>
        <v>15046</v>
      </c>
      <c r="B924" s="14" t="s">
        <v>657</v>
      </c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 t="s">
        <v>695</v>
      </c>
      <c r="T924" s="14"/>
    </row>
    <row r="925" spans="1:20" x14ac:dyDescent="0.25">
      <c r="A925" s="14">
        <f t="shared" si="19"/>
        <v>15047</v>
      </c>
      <c r="B925" s="14" t="s">
        <v>658</v>
      </c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 t="s">
        <v>696</v>
      </c>
      <c r="T925" s="14"/>
    </row>
    <row r="926" spans="1:20" x14ac:dyDescent="0.25">
      <c r="A926" s="14">
        <f t="shared" si="19"/>
        <v>15048</v>
      </c>
      <c r="B926" s="14" t="s">
        <v>659</v>
      </c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 t="s">
        <v>697</v>
      </c>
      <c r="T926" s="14"/>
    </row>
    <row r="927" spans="1:20" x14ac:dyDescent="0.25">
      <c r="A927" s="14">
        <f t="shared" si="19"/>
        <v>15049</v>
      </c>
      <c r="B927" s="14" t="s">
        <v>660</v>
      </c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 t="s">
        <v>698</v>
      </c>
      <c r="T927" s="14"/>
    </row>
    <row r="928" spans="1:20" x14ac:dyDescent="0.25">
      <c r="A928" s="14">
        <f t="shared" si="19"/>
        <v>15050</v>
      </c>
      <c r="B928" s="14" t="s">
        <v>661</v>
      </c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 t="s">
        <v>699</v>
      </c>
      <c r="T928" s="14"/>
    </row>
    <row r="929" spans="1:20" x14ac:dyDescent="0.25">
      <c r="A929" s="14">
        <f t="shared" si="19"/>
        <v>15051</v>
      </c>
      <c r="B929" s="14" t="s">
        <v>662</v>
      </c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 t="s">
        <v>700</v>
      </c>
      <c r="T929" s="14"/>
    </row>
    <row r="930" spans="1:20" x14ac:dyDescent="0.25">
      <c r="A930" s="14">
        <f t="shared" si="19"/>
        <v>15052</v>
      </c>
      <c r="B930" s="14" t="s">
        <v>663</v>
      </c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 t="s">
        <v>701</v>
      </c>
      <c r="T930" s="14"/>
    </row>
    <row r="931" spans="1:20" x14ac:dyDescent="0.25">
      <c r="A931" s="14">
        <f t="shared" si="19"/>
        <v>15053</v>
      </c>
      <c r="B931" s="14" t="s">
        <v>664</v>
      </c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 t="s">
        <v>702</v>
      </c>
      <c r="T931" s="14"/>
    </row>
    <row r="932" spans="1:20" x14ac:dyDescent="0.25">
      <c r="A932" s="14">
        <f t="shared" si="19"/>
        <v>15054</v>
      </c>
      <c r="B932" s="14" t="s">
        <v>665</v>
      </c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 t="s">
        <v>703</v>
      </c>
      <c r="T932" s="14"/>
    </row>
    <row r="933" spans="1:20" x14ac:dyDescent="0.25">
      <c r="A933" s="14">
        <f t="shared" si="19"/>
        <v>15055</v>
      </c>
      <c r="B933" s="14" t="s">
        <v>666</v>
      </c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 t="s">
        <v>704</v>
      </c>
      <c r="T933" s="14"/>
    </row>
    <row r="934" spans="1:20" x14ac:dyDescent="0.25">
      <c r="A934" s="14">
        <f t="shared" si="19"/>
        <v>15056</v>
      </c>
      <c r="B934" s="14" t="s">
        <v>705</v>
      </c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 t="s">
        <v>1156</v>
      </c>
      <c r="T934" s="14"/>
    </row>
    <row r="935" spans="1:20" x14ac:dyDescent="0.25">
      <c r="A935" s="14">
        <f t="shared" si="19"/>
        <v>15057</v>
      </c>
      <c r="B935" s="14" t="s">
        <v>598</v>
      </c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</row>
    <row r="936" spans="1:20" x14ac:dyDescent="0.25">
      <c r="A936" s="14">
        <v>20000</v>
      </c>
      <c r="B936" s="14" t="s">
        <v>1904</v>
      </c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 t="s">
        <v>1157</v>
      </c>
      <c r="T936" s="14"/>
    </row>
    <row r="937" spans="1:20" x14ac:dyDescent="0.25">
      <c r="A937" s="14">
        <f>A936+1</f>
        <v>20001</v>
      </c>
      <c r="B937" s="14" t="s">
        <v>600</v>
      </c>
      <c r="C937" s="14" t="s">
        <v>1981</v>
      </c>
      <c r="D937" s="14" t="s">
        <v>1984</v>
      </c>
      <c r="E937" s="14"/>
      <c r="F937" s="14" t="s">
        <v>275</v>
      </c>
      <c r="G937" s="14" t="s">
        <v>11</v>
      </c>
      <c r="H937" s="14" t="s">
        <v>13</v>
      </c>
      <c r="I937" s="14" t="s">
        <v>548</v>
      </c>
      <c r="J937" s="14" t="s">
        <v>1976</v>
      </c>
      <c r="K937" s="14" t="s">
        <v>1959</v>
      </c>
      <c r="L937" s="14"/>
      <c r="M937" s="14"/>
      <c r="N937" s="14"/>
      <c r="O937" s="14"/>
      <c r="P937" s="14"/>
      <c r="Q937" s="14"/>
      <c r="R937" s="14"/>
      <c r="S937" s="14" t="s">
        <v>1158</v>
      </c>
      <c r="T937" s="14"/>
    </row>
    <row r="938" spans="1:20" x14ac:dyDescent="0.25">
      <c r="A938" s="14">
        <f t="shared" ref="A938:A987" si="20">A937+1</f>
        <v>20002</v>
      </c>
      <c r="B938" s="14" t="s">
        <v>601</v>
      </c>
      <c r="C938" s="14" t="s">
        <v>1982</v>
      </c>
      <c r="D938" s="14" t="s">
        <v>1985</v>
      </c>
      <c r="E938" s="14"/>
      <c r="F938" s="14" t="s">
        <v>275</v>
      </c>
      <c r="G938" s="14" t="s">
        <v>11</v>
      </c>
      <c r="H938" s="14" t="s">
        <v>13</v>
      </c>
      <c r="I938" s="14" t="s">
        <v>548</v>
      </c>
      <c r="J938" s="14" t="s">
        <v>1976</v>
      </c>
      <c r="K938" s="14" t="s">
        <v>1959</v>
      </c>
      <c r="L938" s="14"/>
      <c r="M938" s="14"/>
      <c r="N938" s="14"/>
      <c r="O938" s="14"/>
      <c r="P938" s="14"/>
      <c r="Q938" s="14"/>
      <c r="R938" s="14"/>
      <c r="S938" s="14" t="s">
        <v>1159</v>
      </c>
      <c r="T938" s="14"/>
    </row>
    <row r="939" spans="1:20" x14ac:dyDescent="0.25">
      <c r="A939" s="14">
        <f t="shared" si="20"/>
        <v>20003</v>
      </c>
      <c r="B939" s="14" t="s">
        <v>602</v>
      </c>
      <c r="C939" s="14" t="s">
        <v>1983</v>
      </c>
      <c r="D939" s="14" t="s">
        <v>1986</v>
      </c>
      <c r="E939" s="14"/>
      <c r="F939" s="14" t="s">
        <v>275</v>
      </c>
      <c r="G939" s="14" t="s">
        <v>11</v>
      </c>
      <c r="H939" s="14" t="s">
        <v>13</v>
      </c>
      <c r="I939" s="14" t="s">
        <v>548</v>
      </c>
      <c r="J939" s="14" t="s">
        <v>1976</v>
      </c>
      <c r="K939" s="14" t="s">
        <v>1959</v>
      </c>
      <c r="L939" s="14"/>
      <c r="M939" s="14"/>
      <c r="N939" s="14"/>
      <c r="O939" s="14"/>
      <c r="P939" s="14"/>
      <c r="Q939" s="14"/>
      <c r="R939" s="14"/>
      <c r="S939" s="14" t="s">
        <v>1160</v>
      </c>
      <c r="T939" s="14"/>
    </row>
    <row r="940" spans="1:20" x14ac:dyDescent="0.25">
      <c r="A940" s="14">
        <f t="shared" si="20"/>
        <v>20004</v>
      </c>
      <c r="B940" s="14" t="s">
        <v>604</v>
      </c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 t="s">
        <v>1161</v>
      </c>
      <c r="T940" s="14"/>
    </row>
    <row r="941" spans="1:20" x14ac:dyDescent="0.25">
      <c r="A941" s="14">
        <f t="shared" si="20"/>
        <v>20005</v>
      </c>
      <c r="B941" s="14" t="s">
        <v>605</v>
      </c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 t="s">
        <v>1162</v>
      </c>
      <c r="T941" s="14"/>
    </row>
    <row r="942" spans="1:20" x14ac:dyDescent="0.25">
      <c r="A942" s="14">
        <f t="shared" si="20"/>
        <v>20006</v>
      </c>
      <c r="B942" s="14" t="s">
        <v>606</v>
      </c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 t="s">
        <v>1163</v>
      </c>
      <c r="T942" s="14"/>
    </row>
    <row r="943" spans="1:20" x14ac:dyDescent="0.25">
      <c r="A943" s="14">
        <f t="shared" si="20"/>
        <v>20007</v>
      </c>
      <c r="B943" s="14" t="s">
        <v>608</v>
      </c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 t="s">
        <v>1164</v>
      </c>
      <c r="T943" s="14"/>
    </row>
    <row r="944" spans="1:20" x14ac:dyDescent="0.25">
      <c r="A944" s="14">
        <f t="shared" si="20"/>
        <v>20008</v>
      </c>
      <c r="B944" s="14" t="s">
        <v>599</v>
      </c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 t="s">
        <v>1165</v>
      </c>
      <c r="T944" s="14"/>
    </row>
    <row r="945" spans="1:20" x14ac:dyDescent="0.25">
      <c r="A945" s="14">
        <f t="shared" si="20"/>
        <v>20009</v>
      </c>
      <c r="B945" s="14" t="s">
        <v>609</v>
      </c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 t="s">
        <v>906</v>
      </c>
      <c r="T945" s="14"/>
    </row>
    <row r="946" spans="1:20" x14ac:dyDescent="0.25">
      <c r="A946" s="14">
        <f t="shared" si="20"/>
        <v>20010</v>
      </c>
      <c r="B946" s="14" t="s">
        <v>610</v>
      </c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 t="s">
        <v>1166</v>
      </c>
      <c r="T946" s="14"/>
    </row>
    <row r="947" spans="1:20" x14ac:dyDescent="0.25">
      <c r="A947" s="14">
        <f t="shared" si="20"/>
        <v>20011</v>
      </c>
      <c r="B947" s="14" t="s">
        <v>1905</v>
      </c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 t="s">
        <v>1167</v>
      </c>
      <c r="T947" s="14"/>
    </row>
    <row r="948" spans="1:20" x14ac:dyDescent="0.25">
      <c r="A948" s="14">
        <f t="shared" si="20"/>
        <v>20012</v>
      </c>
      <c r="B948" s="14" t="s">
        <v>1906</v>
      </c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 t="s">
        <v>1168</v>
      </c>
      <c r="T948" s="14"/>
    </row>
    <row r="949" spans="1:20" x14ac:dyDescent="0.25">
      <c r="A949" s="14">
        <f t="shared" si="20"/>
        <v>20013</v>
      </c>
      <c r="B949" s="14" t="s">
        <v>1907</v>
      </c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 t="s">
        <v>1169</v>
      </c>
      <c r="T949" s="14"/>
    </row>
    <row r="950" spans="1:20" x14ac:dyDescent="0.25">
      <c r="A950" s="14">
        <f t="shared" si="20"/>
        <v>20014</v>
      </c>
      <c r="B950" s="14" t="s">
        <v>1908</v>
      </c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 t="s">
        <v>1170</v>
      </c>
      <c r="T950" s="14"/>
    </row>
    <row r="951" spans="1:20" x14ac:dyDescent="0.25">
      <c r="A951" s="14">
        <f t="shared" si="20"/>
        <v>20015</v>
      </c>
      <c r="B951" s="14" t="s">
        <v>1909</v>
      </c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 t="s">
        <v>1171</v>
      </c>
      <c r="T951" s="14"/>
    </row>
    <row r="952" spans="1:20" x14ac:dyDescent="0.25">
      <c r="A952" s="14">
        <f t="shared" si="20"/>
        <v>20016</v>
      </c>
      <c r="B952" s="14" t="s">
        <v>1910</v>
      </c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 t="s">
        <v>1172</v>
      </c>
      <c r="T952" s="14"/>
    </row>
    <row r="953" spans="1:20" x14ac:dyDescent="0.25">
      <c r="A953" s="14">
        <f t="shared" si="20"/>
        <v>20017</v>
      </c>
      <c r="B953" s="14" t="s">
        <v>1911</v>
      </c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 t="s">
        <v>1173</v>
      </c>
      <c r="T953" s="14"/>
    </row>
    <row r="954" spans="1:20" x14ac:dyDescent="0.25">
      <c r="A954" s="14">
        <f t="shared" si="20"/>
        <v>20018</v>
      </c>
      <c r="B954" s="14" t="s">
        <v>1912</v>
      </c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 t="s">
        <v>1174</v>
      </c>
      <c r="T954" s="14"/>
    </row>
    <row r="955" spans="1:20" x14ac:dyDescent="0.25">
      <c r="A955" s="14">
        <f t="shared" si="20"/>
        <v>20019</v>
      </c>
      <c r="B955" s="14" t="s">
        <v>1913</v>
      </c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 t="s">
        <v>1175</v>
      </c>
      <c r="T955" s="14"/>
    </row>
    <row r="956" spans="1:20" x14ac:dyDescent="0.25">
      <c r="A956" s="14">
        <f t="shared" si="20"/>
        <v>20020</v>
      </c>
      <c r="B956" s="14" t="s">
        <v>1914</v>
      </c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 t="s">
        <v>1176</v>
      </c>
      <c r="T956" s="14"/>
    </row>
    <row r="957" spans="1:20" x14ac:dyDescent="0.25">
      <c r="A957" s="14">
        <f t="shared" si="20"/>
        <v>20021</v>
      </c>
      <c r="B957" s="14" t="s">
        <v>1915</v>
      </c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 t="s">
        <v>1177</v>
      </c>
      <c r="T957" s="14"/>
    </row>
    <row r="958" spans="1:20" x14ac:dyDescent="0.25">
      <c r="A958" s="14">
        <f t="shared" si="20"/>
        <v>20022</v>
      </c>
      <c r="B958" s="14" t="s">
        <v>1916</v>
      </c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 t="s">
        <v>1178</v>
      </c>
      <c r="T958" s="14"/>
    </row>
    <row r="959" spans="1:20" x14ac:dyDescent="0.25">
      <c r="A959" s="14">
        <f t="shared" si="20"/>
        <v>20023</v>
      </c>
      <c r="B959" s="14" t="s">
        <v>1917</v>
      </c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 t="s">
        <v>1179</v>
      </c>
      <c r="T959" s="14"/>
    </row>
    <row r="960" spans="1:20" x14ac:dyDescent="0.25">
      <c r="A960" s="14">
        <f t="shared" si="20"/>
        <v>20024</v>
      </c>
      <c r="B960" s="14" t="s">
        <v>1918</v>
      </c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 t="s">
        <v>1180</v>
      </c>
      <c r="T960" s="14"/>
    </row>
    <row r="961" spans="1:20" x14ac:dyDescent="0.25">
      <c r="A961" s="14">
        <f t="shared" si="20"/>
        <v>20025</v>
      </c>
      <c r="B961" s="14" t="s">
        <v>1919</v>
      </c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 t="s">
        <v>1181</v>
      </c>
      <c r="T961" s="14"/>
    </row>
    <row r="962" spans="1:20" x14ac:dyDescent="0.25">
      <c r="A962" s="14">
        <f t="shared" si="20"/>
        <v>20026</v>
      </c>
      <c r="B962" s="14" t="s">
        <v>1920</v>
      </c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 t="s">
        <v>1182</v>
      </c>
      <c r="T962" s="14"/>
    </row>
    <row r="963" spans="1:20" x14ac:dyDescent="0.25">
      <c r="A963" s="14">
        <f t="shared" si="20"/>
        <v>20027</v>
      </c>
      <c r="B963" s="14" t="s">
        <v>1921</v>
      </c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 t="s">
        <v>1183</v>
      </c>
      <c r="T963" s="14"/>
    </row>
    <row r="964" spans="1:20" x14ac:dyDescent="0.25">
      <c r="A964" s="14">
        <f t="shared" si="20"/>
        <v>20028</v>
      </c>
      <c r="B964" s="14" t="s">
        <v>1922</v>
      </c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 t="s">
        <v>1184</v>
      </c>
      <c r="T964" s="14"/>
    </row>
    <row r="965" spans="1:20" x14ac:dyDescent="0.25">
      <c r="A965" s="14">
        <f t="shared" si="20"/>
        <v>20029</v>
      </c>
      <c r="B965" s="14" t="s">
        <v>1923</v>
      </c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 t="s">
        <v>1185</v>
      </c>
      <c r="T965" s="14"/>
    </row>
    <row r="966" spans="1:20" x14ac:dyDescent="0.25">
      <c r="A966" s="14">
        <f t="shared" si="20"/>
        <v>20030</v>
      </c>
      <c r="B966" s="14" t="s">
        <v>1924</v>
      </c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 t="s">
        <v>1186</v>
      </c>
      <c r="T966" s="14"/>
    </row>
    <row r="967" spans="1:20" x14ac:dyDescent="0.25">
      <c r="A967" s="14">
        <f t="shared" si="20"/>
        <v>20031</v>
      </c>
      <c r="B967" s="14" t="s">
        <v>1925</v>
      </c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 t="s">
        <v>1187</v>
      </c>
      <c r="T967" s="14"/>
    </row>
    <row r="968" spans="1:20" x14ac:dyDescent="0.25">
      <c r="A968" s="14">
        <f t="shared" si="20"/>
        <v>20032</v>
      </c>
      <c r="B968" s="14" t="s">
        <v>1926</v>
      </c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 t="s">
        <v>1188</v>
      </c>
      <c r="T968" s="14"/>
    </row>
    <row r="969" spans="1:20" x14ac:dyDescent="0.25">
      <c r="A969" s="14">
        <f t="shared" si="20"/>
        <v>20033</v>
      </c>
      <c r="B969" s="14" t="s">
        <v>1927</v>
      </c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 t="s">
        <v>1187</v>
      </c>
      <c r="T969" s="14"/>
    </row>
    <row r="970" spans="1:20" x14ac:dyDescent="0.25">
      <c r="A970" s="14">
        <f t="shared" si="20"/>
        <v>20034</v>
      </c>
      <c r="B970" s="14" t="s">
        <v>1928</v>
      </c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 t="s">
        <v>1189</v>
      </c>
      <c r="T970" s="14"/>
    </row>
    <row r="971" spans="1:20" x14ac:dyDescent="0.25">
      <c r="A971" s="14">
        <f t="shared" si="20"/>
        <v>20035</v>
      </c>
      <c r="B971" s="14" t="s">
        <v>1929</v>
      </c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 t="s">
        <v>1190</v>
      </c>
      <c r="T971" s="14"/>
    </row>
    <row r="972" spans="1:20" x14ac:dyDescent="0.25">
      <c r="A972" s="14">
        <f t="shared" si="20"/>
        <v>20036</v>
      </c>
      <c r="B972" s="14" t="s">
        <v>1930</v>
      </c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 t="s">
        <v>1191</v>
      </c>
      <c r="T972" s="14"/>
    </row>
    <row r="973" spans="1:20" x14ac:dyDescent="0.25">
      <c r="A973" s="14">
        <f t="shared" si="20"/>
        <v>20037</v>
      </c>
      <c r="B973" s="14" t="s">
        <v>1931</v>
      </c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 t="s">
        <v>1192</v>
      </c>
      <c r="T973" s="14"/>
    </row>
    <row r="974" spans="1:20" x14ac:dyDescent="0.25">
      <c r="A974" s="14">
        <f t="shared" si="20"/>
        <v>20038</v>
      </c>
      <c r="B974" s="14" t="s">
        <v>1932</v>
      </c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 t="s">
        <v>1193</v>
      </c>
      <c r="T974" s="14"/>
    </row>
    <row r="975" spans="1:20" x14ac:dyDescent="0.25">
      <c r="A975" s="14">
        <f t="shared" si="20"/>
        <v>20039</v>
      </c>
      <c r="B975" s="14" t="s">
        <v>1933</v>
      </c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 t="s">
        <v>1194</v>
      </c>
      <c r="T975" s="14"/>
    </row>
    <row r="976" spans="1:20" x14ac:dyDescent="0.25">
      <c r="A976" s="14">
        <f t="shared" si="20"/>
        <v>20040</v>
      </c>
      <c r="B976" s="14" t="s">
        <v>1934</v>
      </c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 t="s">
        <v>1195</v>
      </c>
      <c r="T976" s="14"/>
    </row>
    <row r="977" spans="1:20" x14ac:dyDescent="0.25">
      <c r="A977" s="14">
        <f t="shared" si="20"/>
        <v>20041</v>
      </c>
      <c r="B977" s="14" t="s">
        <v>1935</v>
      </c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 t="s">
        <v>1196</v>
      </c>
      <c r="T977" s="14"/>
    </row>
    <row r="978" spans="1:20" x14ac:dyDescent="0.25">
      <c r="A978" s="14">
        <f t="shared" si="20"/>
        <v>20042</v>
      </c>
      <c r="B978" s="14" t="s">
        <v>1936</v>
      </c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 t="s">
        <v>1197</v>
      </c>
      <c r="T978" s="14"/>
    </row>
    <row r="979" spans="1:20" x14ac:dyDescent="0.25">
      <c r="A979" s="14">
        <f t="shared" si="20"/>
        <v>20043</v>
      </c>
      <c r="B979" s="14" t="s">
        <v>1937</v>
      </c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 t="s">
        <v>1196</v>
      </c>
      <c r="T979" s="14"/>
    </row>
    <row r="980" spans="1:20" x14ac:dyDescent="0.25">
      <c r="A980" s="14">
        <f t="shared" si="20"/>
        <v>20044</v>
      </c>
      <c r="B980" s="14" t="s">
        <v>1938</v>
      </c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 t="s">
        <v>1197</v>
      </c>
      <c r="T980" s="14"/>
    </row>
    <row r="981" spans="1:20" x14ac:dyDescent="0.25">
      <c r="A981" s="14">
        <f t="shared" si="20"/>
        <v>20045</v>
      </c>
      <c r="B981" s="14" t="s">
        <v>1939</v>
      </c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 t="s">
        <v>1198</v>
      </c>
      <c r="T981" s="14"/>
    </row>
    <row r="982" spans="1:20" x14ac:dyDescent="0.25">
      <c r="A982" s="14">
        <f t="shared" si="20"/>
        <v>20046</v>
      </c>
      <c r="B982" s="14" t="s">
        <v>1940</v>
      </c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 t="s">
        <v>1199</v>
      </c>
      <c r="T982" s="14"/>
    </row>
    <row r="983" spans="1:20" x14ac:dyDescent="0.25">
      <c r="A983" s="14">
        <f t="shared" si="20"/>
        <v>20047</v>
      </c>
      <c r="B983" s="14" t="s">
        <v>1941</v>
      </c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 t="s">
        <v>1200</v>
      </c>
      <c r="T983" s="14"/>
    </row>
    <row r="984" spans="1:20" x14ac:dyDescent="0.25">
      <c r="A984" s="14">
        <f t="shared" si="20"/>
        <v>20048</v>
      </c>
      <c r="B984" s="14" t="s">
        <v>1942</v>
      </c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 t="s">
        <v>1201</v>
      </c>
      <c r="T984" s="14"/>
    </row>
    <row r="985" spans="1:20" x14ac:dyDescent="0.25">
      <c r="A985" s="14">
        <f t="shared" si="20"/>
        <v>20049</v>
      </c>
      <c r="B985" s="14" t="s">
        <v>1943</v>
      </c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 t="s">
        <v>1202</v>
      </c>
      <c r="T985" s="14"/>
    </row>
    <row r="986" spans="1:20" x14ac:dyDescent="0.25">
      <c r="A986" s="14">
        <f t="shared" si="20"/>
        <v>20050</v>
      </c>
      <c r="B986" s="14" t="s">
        <v>1944</v>
      </c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 t="s">
        <v>1203</v>
      </c>
      <c r="T986" s="14"/>
    </row>
    <row r="987" spans="1:20" x14ac:dyDescent="0.25">
      <c r="A987" s="14">
        <f t="shared" si="20"/>
        <v>20051</v>
      </c>
      <c r="B987" s="14" t="s">
        <v>1945</v>
      </c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</row>
    <row r="988" spans="1:20" x14ac:dyDescent="0.25">
      <c r="A988" s="17"/>
    </row>
    <row r="989" spans="1:20" x14ac:dyDescent="0.25">
      <c r="A989" s="17"/>
    </row>
    <row r="990" spans="1:20" x14ac:dyDescent="0.25">
      <c r="A990" s="17"/>
    </row>
    <row r="991" spans="1:20" x14ac:dyDescent="0.25">
      <c r="A991" s="17"/>
    </row>
    <row r="992" spans="1:20" x14ac:dyDescent="0.25">
      <c r="A992" s="17"/>
    </row>
    <row r="993" spans="1:1" x14ac:dyDescent="0.25">
      <c r="A993" s="17"/>
    </row>
    <row r="994" spans="1:1" x14ac:dyDescent="0.25">
      <c r="A994" s="17"/>
    </row>
    <row r="995" spans="1:1" x14ac:dyDescent="0.25">
      <c r="A995" s="17"/>
    </row>
    <row r="996" spans="1:1" x14ac:dyDescent="0.25">
      <c r="A996" s="17"/>
    </row>
    <row r="997" spans="1:1" x14ac:dyDescent="0.25">
      <c r="A997" s="17"/>
    </row>
    <row r="998" spans="1:1" x14ac:dyDescent="0.25">
      <c r="A998" s="17"/>
    </row>
    <row r="999" spans="1:1" x14ac:dyDescent="0.25">
      <c r="A999" s="17"/>
    </row>
    <row r="1000" spans="1:1" x14ac:dyDescent="0.25">
      <c r="A1000" s="17"/>
    </row>
    <row r="1001" spans="1:1" x14ac:dyDescent="0.25">
      <c r="A1001" s="17"/>
    </row>
    <row r="1002" spans="1:1" x14ac:dyDescent="0.25">
      <c r="A1002" s="17"/>
    </row>
    <row r="1003" spans="1:1" x14ac:dyDescent="0.25">
      <c r="A1003" s="17"/>
    </row>
    <row r="1004" spans="1:1" x14ac:dyDescent="0.25">
      <c r="A1004" s="17"/>
    </row>
    <row r="1005" spans="1:1" x14ac:dyDescent="0.25">
      <c r="A1005" s="17"/>
    </row>
    <row r="1006" spans="1:1" x14ac:dyDescent="0.25">
      <c r="A1006" s="17"/>
    </row>
    <row r="1007" spans="1:1" x14ac:dyDescent="0.25">
      <c r="A1007" s="17"/>
    </row>
    <row r="1008" spans="1:1" x14ac:dyDescent="0.25">
      <c r="A1008" s="17"/>
    </row>
    <row r="1009" spans="1:1" x14ac:dyDescent="0.25">
      <c r="A1009" s="17"/>
    </row>
    <row r="1010" spans="1:1" x14ac:dyDescent="0.25">
      <c r="A1010" s="17"/>
    </row>
    <row r="1011" spans="1:1" x14ac:dyDescent="0.25">
      <c r="A1011" s="17"/>
    </row>
    <row r="1012" spans="1:1" x14ac:dyDescent="0.25">
      <c r="A1012" s="17"/>
    </row>
    <row r="1013" spans="1:1" x14ac:dyDescent="0.25">
      <c r="A1013" s="17"/>
    </row>
    <row r="1014" spans="1:1" x14ac:dyDescent="0.25">
      <c r="A1014" s="17"/>
    </row>
    <row r="1015" spans="1:1" x14ac:dyDescent="0.25">
      <c r="A1015" s="17"/>
    </row>
    <row r="1016" spans="1:1" x14ac:dyDescent="0.25">
      <c r="A1016" s="17"/>
    </row>
    <row r="1017" spans="1:1" x14ac:dyDescent="0.25">
      <c r="A1017" s="17"/>
    </row>
    <row r="1018" spans="1:1" x14ac:dyDescent="0.25">
      <c r="A1018" s="17"/>
    </row>
    <row r="1019" spans="1:1" x14ac:dyDescent="0.25">
      <c r="A1019" s="17"/>
    </row>
    <row r="1020" spans="1:1" x14ac:dyDescent="0.25">
      <c r="A1020" s="17"/>
    </row>
    <row r="1021" spans="1:1" x14ac:dyDescent="0.25">
      <c r="A1021" s="17"/>
    </row>
    <row r="1022" spans="1:1" x14ac:dyDescent="0.25">
      <c r="A1022" s="17"/>
    </row>
    <row r="1023" spans="1:1" x14ac:dyDescent="0.25">
      <c r="A1023" s="17"/>
    </row>
    <row r="1024" spans="1:1" x14ac:dyDescent="0.25">
      <c r="A1024" s="17"/>
    </row>
    <row r="1025" spans="1:1" x14ac:dyDescent="0.25">
      <c r="A1025" s="17"/>
    </row>
    <row r="1026" spans="1:1" x14ac:dyDescent="0.25">
      <c r="A1026" s="17"/>
    </row>
    <row r="1027" spans="1:1" x14ac:dyDescent="0.25">
      <c r="A1027" s="17"/>
    </row>
    <row r="1028" spans="1:1" x14ac:dyDescent="0.25">
      <c r="A1028" s="17"/>
    </row>
    <row r="1029" spans="1:1" x14ac:dyDescent="0.25">
      <c r="A1029" s="17"/>
    </row>
    <row r="1030" spans="1:1" x14ac:dyDescent="0.25">
      <c r="A1030" s="17"/>
    </row>
    <row r="1031" spans="1:1" x14ac:dyDescent="0.25">
      <c r="A1031" s="17"/>
    </row>
    <row r="1032" spans="1:1" x14ac:dyDescent="0.25">
      <c r="A1032" s="17"/>
    </row>
    <row r="1033" spans="1:1" x14ac:dyDescent="0.25">
      <c r="A1033" s="17"/>
    </row>
    <row r="1034" spans="1:1" x14ac:dyDescent="0.25">
      <c r="A1034" s="17"/>
    </row>
    <row r="1035" spans="1:1" x14ac:dyDescent="0.25">
      <c r="A1035" s="17"/>
    </row>
    <row r="1036" spans="1:1" x14ac:dyDescent="0.25">
      <c r="A1036" s="17"/>
    </row>
    <row r="1037" spans="1:1" x14ac:dyDescent="0.25">
      <c r="A1037" s="17"/>
    </row>
    <row r="1038" spans="1:1" x14ac:dyDescent="0.25">
      <c r="A1038" s="17"/>
    </row>
    <row r="1039" spans="1:1" x14ac:dyDescent="0.25">
      <c r="A1039" s="17"/>
    </row>
    <row r="1040" spans="1:1" x14ac:dyDescent="0.25">
      <c r="A1040" s="17"/>
    </row>
    <row r="1041" spans="1:1" x14ac:dyDescent="0.25">
      <c r="A1041" s="17"/>
    </row>
    <row r="1042" spans="1:1" x14ac:dyDescent="0.25">
      <c r="A1042" s="17"/>
    </row>
    <row r="1043" spans="1:1" x14ac:dyDescent="0.25">
      <c r="A1043" s="17"/>
    </row>
    <row r="1044" spans="1:1" x14ac:dyDescent="0.25">
      <c r="A1044" s="17"/>
    </row>
    <row r="1045" spans="1:1" x14ac:dyDescent="0.25">
      <c r="A1045" s="17"/>
    </row>
    <row r="1046" spans="1:1" x14ac:dyDescent="0.25">
      <c r="A1046" s="17"/>
    </row>
    <row r="1047" spans="1:1" x14ac:dyDescent="0.25">
      <c r="A1047" s="17"/>
    </row>
    <row r="1048" spans="1:1" x14ac:dyDescent="0.25">
      <c r="A1048" s="17"/>
    </row>
    <row r="1049" spans="1:1" x14ac:dyDescent="0.25">
      <c r="A1049" s="17"/>
    </row>
    <row r="1050" spans="1:1" x14ac:dyDescent="0.25">
      <c r="A1050" s="17"/>
    </row>
    <row r="1051" spans="1:1" x14ac:dyDescent="0.25">
      <c r="A1051" s="17"/>
    </row>
    <row r="1052" spans="1:1" x14ac:dyDescent="0.25">
      <c r="A1052" s="17"/>
    </row>
    <row r="1053" spans="1:1" x14ac:dyDescent="0.25">
      <c r="A1053" s="17"/>
    </row>
    <row r="1054" spans="1:1" x14ac:dyDescent="0.25">
      <c r="A1054" s="17"/>
    </row>
    <row r="1055" spans="1:1" x14ac:dyDescent="0.25">
      <c r="A1055" s="17"/>
    </row>
    <row r="1056" spans="1:1" x14ac:dyDescent="0.25">
      <c r="A1056" s="17"/>
    </row>
    <row r="1057" spans="1:1" x14ac:dyDescent="0.25">
      <c r="A1057" s="17"/>
    </row>
    <row r="1058" spans="1:1" x14ac:dyDescent="0.25">
      <c r="A1058" s="17"/>
    </row>
    <row r="1059" spans="1:1" x14ac:dyDescent="0.25">
      <c r="A1059" s="17"/>
    </row>
    <row r="1060" spans="1:1" x14ac:dyDescent="0.25">
      <c r="A1060" s="17"/>
    </row>
    <row r="1061" spans="1:1" x14ac:dyDescent="0.25">
      <c r="A1061" s="17"/>
    </row>
    <row r="1062" spans="1:1" x14ac:dyDescent="0.25">
      <c r="A1062" s="17"/>
    </row>
    <row r="1063" spans="1:1" x14ac:dyDescent="0.25">
      <c r="A1063" s="17"/>
    </row>
    <row r="1064" spans="1:1" x14ac:dyDescent="0.25">
      <c r="A1064" s="17"/>
    </row>
    <row r="1065" spans="1:1" x14ac:dyDescent="0.25">
      <c r="A1065" s="17"/>
    </row>
    <row r="1066" spans="1:1" x14ac:dyDescent="0.25">
      <c r="A1066" s="17"/>
    </row>
    <row r="1067" spans="1:1" x14ac:dyDescent="0.25">
      <c r="A1067" s="17"/>
    </row>
    <row r="1068" spans="1:1" x14ac:dyDescent="0.25">
      <c r="A1068" s="17"/>
    </row>
    <row r="1069" spans="1:1" x14ac:dyDescent="0.25">
      <c r="A1069" s="17"/>
    </row>
    <row r="1070" spans="1:1" x14ac:dyDescent="0.25">
      <c r="A1070" s="17"/>
    </row>
    <row r="1071" spans="1:1" x14ac:dyDescent="0.25">
      <c r="A1071" s="17"/>
    </row>
    <row r="1072" spans="1:1" x14ac:dyDescent="0.25">
      <c r="A1072" s="17"/>
    </row>
    <row r="1073" spans="1:1" x14ac:dyDescent="0.25">
      <c r="A1073" s="17"/>
    </row>
    <row r="1074" spans="1:1" x14ac:dyDescent="0.25">
      <c r="A1074" s="17"/>
    </row>
    <row r="1075" spans="1:1" x14ac:dyDescent="0.25">
      <c r="A1075" s="17"/>
    </row>
    <row r="1076" spans="1:1" x14ac:dyDescent="0.25">
      <c r="A1076" s="17"/>
    </row>
    <row r="1077" spans="1:1" x14ac:dyDescent="0.25">
      <c r="A1077" s="17"/>
    </row>
    <row r="1078" spans="1:1" x14ac:dyDescent="0.25">
      <c r="A1078" s="17"/>
    </row>
    <row r="1079" spans="1:1" x14ac:dyDescent="0.25">
      <c r="A1079" s="17"/>
    </row>
    <row r="1080" spans="1:1" x14ac:dyDescent="0.25">
      <c r="A1080" s="17"/>
    </row>
    <row r="1081" spans="1:1" x14ac:dyDescent="0.25">
      <c r="A1081" s="17"/>
    </row>
    <row r="1082" spans="1:1" x14ac:dyDescent="0.25">
      <c r="A1082" s="17"/>
    </row>
    <row r="1083" spans="1:1" x14ac:dyDescent="0.25">
      <c r="A1083" s="17"/>
    </row>
    <row r="1084" spans="1:1" x14ac:dyDescent="0.25">
      <c r="A1084" s="17"/>
    </row>
    <row r="1085" spans="1:1" x14ac:dyDescent="0.25">
      <c r="A1085" s="17"/>
    </row>
    <row r="1086" spans="1:1" x14ac:dyDescent="0.25">
      <c r="A1086" s="17"/>
    </row>
    <row r="1087" spans="1:1" x14ac:dyDescent="0.25">
      <c r="A1087" s="17"/>
    </row>
    <row r="1088" spans="1:1" x14ac:dyDescent="0.25">
      <c r="A1088" s="17"/>
    </row>
    <row r="1089" spans="1:1" x14ac:dyDescent="0.25">
      <c r="A1089" s="17"/>
    </row>
    <row r="1090" spans="1:1" x14ac:dyDescent="0.25">
      <c r="A1090" s="17"/>
    </row>
    <row r="1091" spans="1:1" x14ac:dyDescent="0.25">
      <c r="A1091" s="17"/>
    </row>
    <row r="1092" spans="1:1" x14ac:dyDescent="0.25">
      <c r="A1092" s="17"/>
    </row>
    <row r="1093" spans="1:1" x14ac:dyDescent="0.25">
      <c r="A1093" s="17"/>
    </row>
    <row r="1094" spans="1:1" x14ac:dyDescent="0.25">
      <c r="A1094" s="17"/>
    </row>
    <row r="1095" spans="1:1" x14ac:dyDescent="0.25">
      <c r="A1095" s="17"/>
    </row>
    <row r="1096" spans="1:1" x14ac:dyDescent="0.25">
      <c r="A1096" s="17"/>
    </row>
    <row r="1097" spans="1:1" x14ac:dyDescent="0.25">
      <c r="A1097" s="17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Новомет</vt:lpstr>
      <vt:lpstr>Интерфейс</vt:lpstr>
      <vt:lpstr>IDs</vt:lpstr>
    </vt:vector>
  </TitlesOfParts>
  <Company>Company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Трофименко Максим Вячеславович</dc:creator>
  <cp:lastModifiedBy>Трофименко Максим Вячеславович</cp:lastModifiedBy>
  <dcterms:created xsi:type="dcterms:W3CDTF">2014-11-18T10:31:30Z</dcterms:created>
  <dcterms:modified xsi:type="dcterms:W3CDTF">2015-03-04T11:37:21Z</dcterms:modified>
</cp:coreProperties>
</file>